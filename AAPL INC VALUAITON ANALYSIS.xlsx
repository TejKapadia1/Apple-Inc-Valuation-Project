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tejkapadia/Desktop/Finance /Portfolio Projects/"/>
    </mc:Choice>
  </mc:AlternateContent>
  <xr:revisionPtr revIDLastSave="0" documentId="13_ncr:1_{6B1C9C81-DCE4-5C40-953D-5151CB509CCA}" xr6:coauthVersionLast="47" xr6:coauthVersionMax="47" xr10:uidLastSave="{00000000-0000-0000-0000-000000000000}"/>
  <bookViews>
    <workbookView xWindow="0" yWindow="500" windowWidth="28800" windowHeight="16380" xr2:uid="{C0AD1D77-8980-B84A-89D4-A35001692736}"/>
  </bookViews>
  <sheets>
    <sheet name="Executive Summary" sheetId="10" r:id="rId1"/>
    <sheet name="AAPL Financial Data" sheetId="1" r:id="rId2"/>
    <sheet name="AAPL FCFF Calculation" sheetId="2" r:id="rId3"/>
    <sheet name="AAPL WACC Calculation" sheetId="4" r:id="rId4"/>
    <sheet name="AAPL DCF Valuation" sheetId="3" r:id="rId5"/>
    <sheet name="Sensitivity Analysis" sheetId="5" r:id="rId6"/>
    <sheet name="Relative Valuation" sheetId="7" r:id="rId7"/>
    <sheet name="Football Field Analysis" sheetId="8" r:id="rId8"/>
    <sheet name="Conclusion"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7" i="10" l="1"/>
  <c r="O46" i="10"/>
  <c r="O47" i="10" s="1"/>
  <c r="N45" i="10"/>
  <c r="N46" i="10" s="1"/>
  <c r="N47" i="10" s="1"/>
  <c r="L11" i="8"/>
  <c r="O11" i="8"/>
  <c r="J26" i="7"/>
  <c r="I25" i="7"/>
  <c r="I26" i="7" s="1"/>
  <c r="H24" i="7"/>
  <c r="H25" i="7" s="1"/>
  <c r="H26" i="7" s="1"/>
  <c r="H23" i="7"/>
  <c r="C35" i="7" s="1"/>
  <c r="F24" i="7"/>
  <c r="F25" i="7" s="1"/>
  <c r="F26" i="7" s="1"/>
  <c r="F23" i="7"/>
  <c r="V9" i="7"/>
  <c r="U6" i="7"/>
  <c r="M9" i="7"/>
  <c r="U9" i="7" s="1"/>
  <c r="J9" i="7"/>
  <c r="G9" i="7"/>
  <c r="V8" i="7"/>
  <c r="M8" i="7"/>
  <c r="J8" i="7"/>
  <c r="G8" i="7"/>
  <c r="V7" i="7"/>
  <c r="M7" i="7"/>
  <c r="J7" i="7"/>
  <c r="G7" i="7"/>
  <c r="U7" i="7" s="1"/>
  <c r="G6" i="7"/>
  <c r="M6" i="7"/>
  <c r="V6" i="7"/>
  <c r="J6" i="7"/>
  <c r="D24" i="7" s="1"/>
  <c r="V17" i="7" l="1"/>
  <c r="K8" i="7"/>
  <c r="K7" i="7"/>
  <c r="W7" i="7" s="1"/>
  <c r="U8" i="7"/>
  <c r="U13" i="7" s="1"/>
  <c r="U15" i="7"/>
  <c r="K9" i="7"/>
  <c r="W9" i="7" s="1"/>
  <c r="T8" i="7"/>
  <c r="W8" i="7"/>
  <c r="V16" i="7"/>
  <c r="E26" i="7" s="1"/>
  <c r="G26" i="7" s="1"/>
  <c r="C31" i="7" s="1"/>
  <c r="N7" i="8" s="1"/>
  <c r="U16" i="7"/>
  <c r="E25" i="7" s="1"/>
  <c r="G25" i="7" s="1"/>
  <c r="V18" i="7"/>
  <c r="U18" i="7"/>
  <c r="V14" i="7"/>
  <c r="U14" i="7"/>
  <c r="V15" i="7"/>
  <c r="K6" i="7"/>
  <c r="T6" i="7" s="1"/>
  <c r="V13" i="7"/>
  <c r="D23" i="7"/>
  <c r="U17" i="7" l="1"/>
  <c r="T7" i="7"/>
  <c r="T9" i="7"/>
  <c r="T16" i="7" s="1"/>
  <c r="C23" i="7" s="1"/>
  <c r="E23" i="7" s="1"/>
  <c r="G23" i="7" s="1"/>
  <c r="T15" i="7"/>
  <c r="T13" i="7"/>
  <c r="T14" i="7"/>
  <c r="T17" i="7"/>
  <c r="T18" i="7"/>
  <c r="W6" i="7"/>
  <c r="W13" i="7" l="1"/>
  <c r="W14" i="7"/>
  <c r="W17" i="7"/>
  <c r="W16" i="7"/>
  <c r="C24" i="7" s="1"/>
  <c r="E24" i="7" s="1"/>
  <c r="G24" i="7" s="1"/>
  <c r="C30" i="7" s="1"/>
  <c r="W18" i="7"/>
  <c r="W15" i="7"/>
  <c r="M7" i="8" l="1"/>
  <c r="C32" i="7"/>
  <c r="C36" i="7" s="1"/>
  <c r="C37" i="7" s="1"/>
  <c r="L7" i="8" l="1"/>
  <c r="O7" i="8"/>
  <c r="C34" i="3" l="1"/>
  <c r="I26" i="3"/>
  <c r="C8" i="5" s="1"/>
  <c r="I23" i="3"/>
  <c r="I22" i="3"/>
  <c r="C17" i="4"/>
  <c r="C9" i="4"/>
  <c r="C8" i="4"/>
  <c r="C13" i="3"/>
  <c r="D11" i="3"/>
  <c r="E11" i="3" s="1"/>
  <c r="F11" i="3" s="1"/>
  <c r="G11" i="3" s="1"/>
  <c r="H11" i="3" s="1"/>
  <c r="C10" i="3"/>
  <c r="C9" i="3" s="1"/>
  <c r="C7" i="3"/>
  <c r="D8" i="3"/>
  <c r="E8" i="3" s="1"/>
  <c r="F8" i="3" s="1"/>
  <c r="G8" i="3" s="1"/>
  <c r="H8" i="3" s="1"/>
  <c r="H13" i="3" s="1"/>
  <c r="D18" i="2"/>
  <c r="E18" i="2"/>
  <c r="F18" i="2"/>
  <c r="G18" i="2"/>
  <c r="C18" i="2"/>
  <c r="D9" i="2"/>
  <c r="D13" i="2" s="1"/>
  <c r="E9" i="2"/>
  <c r="E13" i="2" s="1"/>
  <c r="F9" i="2"/>
  <c r="F13" i="2" s="1"/>
  <c r="G9" i="2"/>
  <c r="G13" i="2" s="1"/>
  <c r="C9" i="2"/>
  <c r="C13" i="2" s="1"/>
  <c r="C12" i="3" s="1"/>
  <c r="F19" i="2" l="1"/>
  <c r="F24" i="2"/>
  <c r="I24" i="3"/>
  <c r="C7" i="5" s="1"/>
  <c r="C18" i="4"/>
  <c r="C19" i="2"/>
  <c r="E19" i="2"/>
  <c r="E24" i="2" s="1"/>
  <c r="C12" i="4"/>
  <c r="C24" i="2"/>
  <c r="C11" i="3"/>
  <c r="E15" i="3"/>
  <c r="E16" i="3" s="1"/>
  <c r="D10" i="3"/>
  <c r="D12" i="3" s="1"/>
  <c r="H10" i="3"/>
  <c r="H12" i="3" s="1"/>
  <c r="H14" i="3"/>
  <c r="F15" i="3"/>
  <c r="F16" i="3" s="1"/>
  <c r="D13" i="3"/>
  <c r="H15" i="3"/>
  <c r="H16" i="3" s="1"/>
  <c r="F13" i="3"/>
  <c r="D14" i="3"/>
  <c r="G14" i="3"/>
  <c r="G10" i="3"/>
  <c r="G12" i="3" s="1"/>
  <c r="E10" i="3"/>
  <c r="E12" i="3" s="1"/>
  <c r="E14" i="3"/>
  <c r="G13" i="3"/>
  <c r="D15" i="3"/>
  <c r="D16" i="3" s="1"/>
  <c r="F14" i="3"/>
  <c r="F10" i="3"/>
  <c r="F12" i="3" s="1"/>
  <c r="E13" i="3"/>
  <c r="G15" i="3"/>
  <c r="G16" i="3" s="1"/>
  <c r="D19" i="2"/>
  <c r="D24" i="2" s="1"/>
  <c r="C22" i="4" l="1"/>
  <c r="L13" i="3" s="1"/>
  <c r="F17" i="3"/>
  <c r="H17" i="3"/>
  <c r="C43" i="3" s="1"/>
  <c r="D17" i="3"/>
  <c r="C39" i="3" s="1"/>
  <c r="E17" i="3"/>
  <c r="C40" i="3" s="1"/>
  <c r="G17" i="3"/>
  <c r="C42" i="3" s="1"/>
  <c r="F19" i="3" l="1"/>
  <c r="C41" i="3"/>
  <c r="G19" i="3"/>
  <c r="E19" i="3"/>
  <c r="I19" i="3" s="1"/>
  <c r="D19" i="3"/>
  <c r="C5" i="5"/>
  <c r="I18" i="3"/>
  <c r="I20" i="3" s="1"/>
  <c r="L40" i="3" s="1"/>
  <c r="H19" i="3"/>
  <c r="C6" i="5" l="1"/>
  <c r="L39" i="3"/>
  <c r="M39" i="3" s="1"/>
  <c r="M40" i="3" s="1"/>
  <c r="I21" i="3"/>
  <c r="I25" i="3" s="1"/>
  <c r="I27" i="3" s="1"/>
  <c r="C12" i="5"/>
  <c r="C18" i="5" s="1"/>
  <c r="C24" i="5" s="1"/>
  <c r="C30" i="5" s="1"/>
  <c r="C36" i="5" s="1"/>
  <c r="E14" i="5"/>
  <c r="E20" i="5" s="1"/>
  <c r="E26" i="5" s="1"/>
  <c r="E32" i="5" s="1"/>
  <c r="E38" i="5" s="1"/>
  <c r="K36" i="5" s="1"/>
  <c r="E13" i="5"/>
  <c r="E19" i="5" s="1"/>
  <c r="E25" i="5" s="1"/>
  <c r="E31" i="5" s="1"/>
  <c r="E37" i="5" s="1"/>
  <c r="C13" i="5"/>
  <c r="C19" i="5" s="1"/>
  <c r="C25" i="5" s="1"/>
  <c r="C31" i="5" s="1"/>
  <c r="C37" i="5" s="1"/>
  <c r="D12" i="5"/>
  <c r="D18" i="5" s="1"/>
  <c r="D24" i="5" s="1"/>
  <c r="D30" i="5" s="1"/>
  <c r="D36" i="5" s="1"/>
  <c r="J34" i="5" s="1"/>
  <c r="C14" i="5"/>
  <c r="C20" i="5" s="1"/>
  <c r="C26" i="5" s="1"/>
  <c r="C32" i="5" s="1"/>
  <c r="C38" i="5" s="1"/>
  <c r="I36" i="5" s="1"/>
  <c r="D13" i="5"/>
  <c r="D19" i="5" s="1"/>
  <c r="D25" i="5" s="1"/>
  <c r="D31" i="5" s="1"/>
  <c r="D37" i="5" s="1"/>
  <c r="E12" i="5"/>
  <c r="E18" i="5" s="1"/>
  <c r="E24" i="5" s="1"/>
  <c r="E30" i="5" s="1"/>
  <c r="E36" i="5" s="1"/>
  <c r="K34" i="5" s="1"/>
  <c r="D14" i="5"/>
  <c r="D20" i="5" s="1"/>
  <c r="D26" i="5" s="1"/>
  <c r="D32" i="5" s="1"/>
  <c r="D38" i="5" s="1"/>
  <c r="J36" i="5" s="1"/>
  <c r="M9" i="8" l="1"/>
  <c r="I35" i="5"/>
  <c r="M10" i="8"/>
  <c r="L10" i="8" s="1"/>
  <c r="I34" i="5"/>
  <c r="N8" i="8"/>
  <c r="K35" i="5"/>
  <c r="C43" i="5"/>
  <c r="J35" i="5"/>
  <c r="M8" i="8"/>
  <c r="L8" i="8" s="1"/>
  <c r="C42" i="5"/>
  <c r="N10" i="8"/>
  <c r="O10" i="8" s="1"/>
  <c r="C44" i="5"/>
  <c r="L9" i="8"/>
  <c r="O9" i="8"/>
  <c r="O8" i="8" l="1"/>
</calcChain>
</file>

<file path=xl/sharedStrings.xml><?xml version="1.0" encoding="utf-8"?>
<sst xmlns="http://schemas.openxmlformats.org/spreadsheetml/2006/main" count="316" uniqueCount="224">
  <si>
    <t>Revenue</t>
  </si>
  <si>
    <t>Operating Income (EBIT)</t>
  </si>
  <si>
    <t>Net Income</t>
  </si>
  <si>
    <t>Income Tax Expense</t>
  </si>
  <si>
    <t>Depreciation &amp; Amortization</t>
  </si>
  <si>
    <t>Captial Expenditures (CapEx)</t>
  </si>
  <si>
    <t>Current Assets</t>
  </si>
  <si>
    <t>Current Liabilities</t>
  </si>
  <si>
    <t>Cash &amp; Cash Equivalents</t>
  </si>
  <si>
    <t>Total Debt</t>
  </si>
  <si>
    <t>Share Price</t>
  </si>
  <si>
    <t>Shares Outstanding</t>
  </si>
  <si>
    <t>Market Cap</t>
  </si>
  <si>
    <t>Enterprise Value</t>
  </si>
  <si>
    <t>Pre Tax Expense</t>
  </si>
  <si>
    <t>Income Statement</t>
  </si>
  <si>
    <t>Cash Flow Statement</t>
  </si>
  <si>
    <t>Balance Sheet Data</t>
  </si>
  <si>
    <t>Market Data Current Values</t>
  </si>
  <si>
    <t>Tax Rate</t>
  </si>
  <si>
    <t>NOPAT</t>
  </si>
  <si>
    <t>EBIT</t>
  </si>
  <si>
    <t>Working Capital</t>
  </si>
  <si>
    <t>Tax Rate Calculation</t>
  </si>
  <si>
    <t>NOPAT Calculation</t>
  </si>
  <si>
    <t>Working Capital Calculaiton</t>
  </si>
  <si>
    <t>Δ Working Capital</t>
  </si>
  <si>
    <t>FCFF Calculation</t>
  </si>
  <si>
    <t>FCFF</t>
  </si>
  <si>
    <t>Year</t>
  </si>
  <si>
    <t>2025A</t>
  </si>
  <si>
    <t>2026F</t>
  </si>
  <si>
    <t>2027F</t>
  </si>
  <si>
    <t>2028F</t>
  </si>
  <si>
    <t>2029F</t>
  </si>
  <si>
    <t>2030F</t>
  </si>
  <si>
    <t>Revenue Growth</t>
  </si>
  <si>
    <t>EBIT Margin</t>
  </si>
  <si>
    <t>Tax Rate</t>
  </si>
  <si>
    <t>Depreciation</t>
  </si>
  <si>
    <t>CapEx</t>
  </si>
  <si>
    <t>Δ Working Capital</t>
  </si>
  <si>
    <t>Assumption Table for AAPL</t>
  </si>
  <si>
    <t>Variable</t>
  </si>
  <si>
    <t>Assumption</t>
  </si>
  <si>
    <t>ΔWC</t>
  </si>
  <si>
    <t>of Revenue</t>
  </si>
  <si>
    <t>of Revenue Change</t>
  </si>
  <si>
    <t>Growth Rate</t>
  </si>
  <si>
    <t>Δ in Revenue</t>
  </si>
  <si>
    <t>Risk Free Rate (Rf)</t>
  </si>
  <si>
    <t>Beta (5Y)</t>
  </si>
  <si>
    <t>Market Risk Premium (Assumed)</t>
  </si>
  <si>
    <t>Market Value of Equity</t>
  </si>
  <si>
    <t>Market Value of Debt</t>
  </si>
  <si>
    <t>Data For WACC Calculation</t>
  </si>
  <si>
    <t>Cost of Debt</t>
  </si>
  <si>
    <t>For large investment-grade companies like Apple, analysts normally do not calculate cost of debt manually. Instead they use the yield on the company’s bonds or a rounded estimate.
Apple’s recent bond yields are roughly 3.5%–4.2%.
But if it is to be calculated Cost of Debt = Interest Expense / Total Debt</t>
  </si>
  <si>
    <t>Weight of Debt</t>
  </si>
  <si>
    <t>Weight of Equity</t>
  </si>
  <si>
    <t>Cost of Equity</t>
  </si>
  <si>
    <t>Note:</t>
  </si>
  <si>
    <t>WACC</t>
  </si>
  <si>
    <t>Normalized Tax Rate (Assumed)</t>
  </si>
  <si>
    <t>TV</t>
  </si>
  <si>
    <t>PV (FCFF)</t>
  </si>
  <si>
    <t>WACC Calculated</t>
  </si>
  <si>
    <t>PV (TV)</t>
  </si>
  <si>
    <t xml:space="preserve">Cash </t>
  </si>
  <si>
    <t>Equity Value</t>
  </si>
  <si>
    <t>Net Debt</t>
  </si>
  <si>
    <t xml:space="preserve">Number of Shares Outstanding </t>
  </si>
  <si>
    <t>Value per Share</t>
  </si>
  <si>
    <t>Metric</t>
  </si>
  <si>
    <t>Value</t>
  </si>
  <si>
    <t>Enterprise Value</t>
  </si>
  <si>
    <t>$1.55T</t>
  </si>
  <si>
    <t>Equity Value</t>
  </si>
  <si>
    <t>$1.49T</t>
  </si>
  <si>
    <t>Intrinsic Share Price</t>
  </si>
  <si>
    <t>Current Market Price</t>
  </si>
  <si>
    <t>Upside / Downslude</t>
  </si>
  <si>
    <t>Trillion</t>
  </si>
  <si>
    <t>DCF Valuation Table</t>
  </si>
  <si>
    <t>WACC /  TV (Growth Rate)</t>
  </si>
  <si>
    <t>FCFF (Y5)</t>
  </si>
  <si>
    <t>Sensitivity Analysis of TV</t>
  </si>
  <si>
    <t>Sensitivity Analysis of PV(TV)</t>
  </si>
  <si>
    <t>Sum of PV(FCFF)</t>
  </si>
  <si>
    <t>Sensitivity Analysis of Enterprise Value</t>
  </si>
  <si>
    <t>Sensitivity Analysis of Value Per Share (Intrinsic Value)</t>
  </si>
  <si>
    <t>Sensitivity Analysis of Equity Value</t>
  </si>
  <si>
    <t>Number of Shares Outstnding</t>
  </si>
  <si>
    <t>Data required for Sensitivity Analysis</t>
  </si>
  <si>
    <t>Bear Case</t>
  </si>
  <si>
    <t>Bull Case</t>
  </si>
  <si>
    <t>Base Case</t>
  </si>
  <si>
    <t>Scenario</t>
  </si>
  <si>
    <t>Valuation Range</t>
  </si>
  <si>
    <t>Valuation Signal</t>
  </si>
  <si>
    <t>Over Valued</t>
  </si>
  <si>
    <t>AAPL</t>
  </si>
  <si>
    <t>Microsoft</t>
  </si>
  <si>
    <t>META</t>
  </si>
  <si>
    <t>EBITDA</t>
  </si>
  <si>
    <t>GOOG</t>
  </si>
  <si>
    <t>MSFT</t>
  </si>
  <si>
    <t>EPS</t>
  </si>
  <si>
    <t>P/E</t>
  </si>
  <si>
    <t>EV/EBITDA</t>
  </si>
  <si>
    <t>EV/Revenue</t>
  </si>
  <si>
    <t>Alphabet</t>
  </si>
  <si>
    <t>Meta</t>
  </si>
  <si>
    <t>Company Name</t>
  </si>
  <si>
    <t>Ticker</t>
  </si>
  <si>
    <t>Book Value</t>
  </si>
  <si>
    <t>Market Data</t>
  </si>
  <si>
    <t>Financials</t>
  </si>
  <si>
    <t>EV/ Revenue</t>
  </si>
  <si>
    <t>P/B</t>
  </si>
  <si>
    <t>EV/ EBITDA</t>
  </si>
  <si>
    <t>Valuation</t>
  </si>
  <si>
    <t>Book Value Per Share</t>
  </si>
  <si>
    <t>Company Data</t>
  </si>
  <si>
    <t>Statistic</t>
  </si>
  <si>
    <t>High</t>
  </si>
  <si>
    <t>75th Percentile</t>
  </si>
  <si>
    <t>Average</t>
  </si>
  <si>
    <t>Median</t>
  </si>
  <si>
    <t>25th Percentile</t>
  </si>
  <si>
    <t>Minimum</t>
  </si>
  <si>
    <t>Compareable Valuation of Apple Inc</t>
  </si>
  <si>
    <t>Apple</t>
  </si>
  <si>
    <t>Implied Enterprise Value</t>
  </si>
  <si>
    <t>Method</t>
  </si>
  <si>
    <t>Implied Equity Value</t>
  </si>
  <si>
    <t>Implied Share Price</t>
  </si>
  <si>
    <t>Implied SP &gt; SP</t>
  </si>
  <si>
    <t>Implied SP &lt; SP</t>
  </si>
  <si>
    <t>Undervalued</t>
  </si>
  <si>
    <t>Overvalued</t>
  </si>
  <si>
    <t>Analysts normally remove weak multiples and give a valuation range.
For tech companies like Apple Inc. the most reliable multiples are:
• EV / EBITDA
• P/E
P/B is rarely used for tech because book value doesn't capture intangible assets.</t>
  </si>
  <si>
    <t>Low Target Price</t>
  </si>
  <si>
    <t>High Target Price</t>
  </si>
  <si>
    <t>Base Target Price</t>
  </si>
  <si>
    <t>Target Price Calculation</t>
  </si>
  <si>
    <t>Note</t>
  </si>
  <si>
    <t>Final Valuation Summary</t>
  </si>
  <si>
    <t>Current Price</t>
  </si>
  <si>
    <t>Target Price</t>
  </si>
  <si>
    <t>Upside / Downside</t>
  </si>
  <si>
    <t>Conclusion</t>
  </si>
  <si>
    <t>Reccomendation</t>
  </si>
  <si>
    <t>Football Field Analysis</t>
  </si>
  <si>
    <t>Comps</t>
  </si>
  <si>
    <t>DCF Bear</t>
  </si>
  <si>
    <t>DCF Base</t>
  </si>
  <si>
    <t>DCF Bull</t>
  </si>
  <si>
    <t>52W H/L</t>
  </si>
  <si>
    <t>Low</t>
  </si>
  <si>
    <t>Data Input</t>
  </si>
  <si>
    <t>From Relative Valuation</t>
  </si>
  <si>
    <t>From DCF Valuation Sensitivity Analysis</t>
  </si>
  <si>
    <t>Market Data From Stock Analysis.Com</t>
  </si>
  <si>
    <t>Range</t>
  </si>
  <si>
    <t>Start</t>
  </si>
  <si>
    <t>Relative Valuation - Comparable Companies Method</t>
  </si>
  <si>
    <t>DCF Valuation - FCFF for Apple Inc</t>
  </si>
  <si>
    <t xml:space="preserve">Financial Data from Stock Analysis </t>
  </si>
  <si>
    <t>FCFF Calculation for AAPL Data</t>
  </si>
  <si>
    <t>WACC Calulcation for the Use in DCF - FCFF Model</t>
  </si>
  <si>
    <t>Sensitivity Analysis of DCF Valuation</t>
  </si>
  <si>
    <t>Football Field Analysis For Apple Inc</t>
  </si>
  <si>
    <r>
      <t xml:space="preserve">Interpretation:
The football field analysis compares valuation ranges derived from </t>
    </r>
    <r>
      <rPr>
        <b/>
        <i/>
        <sz val="12"/>
        <color theme="1"/>
        <rFont val="Aptos Narrow"/>
        <scheme val="minor"/>
      </rPr>
      <t>DCF scenarios</t>
    </r>
    <r>
      <rPr>
        <sz val="12"/>
        <color theme="1"/>
        <rFont val="Aptos Narrow"/>
        <family val="2"/>
        <scheme val="minor"/>
      </rPr>
      <t>,</t>
    </r>
    <r>
      <rPr>
        <b/>
        <i/>
        <sz val="12"/>
        <color theme="1"/>
        <rFont val="Aptos Narrow"/>
        <scheme val="minor"/>
      </rPr>
      <t xml:space="preserve"> comparable company multiples</t>
    </r>
    <r>
      <rPr>
        <sz val="12"/>
        <color theme="1"/>
        <rFont val="Aptos Narrow"/>
        <family val="2"/>
        <scheme val="minor"/>
      </rPr>
      <t xml:space="preserve">, and </t>
    </r>
    <r>
      <rPr>
        <b/>
        <i/>
        <sz val="12"/>
        <color theme="1"/>
        <rFont val="Aptos Narrow"/>
        <scheme val="minor"/>
      </rPr>
      <t>the stock’s historical trading range</t>
    </r>
    <r>
      <rPr>
        <sz val="12"/>
        <color theme="1"/>
        <rFont val="Aptos Narrow"/>
        <family val="2"/>
        <scheme val="minor"/>
      </rPr>
      <t>. The current market price of</t>
    </r>
    <r>
      <rPr>
        <i/>
        <sz val="12"/>
        <color theme="1"/>
        <rFont val="Aptos Narrow"/>
        <scheme val="minor"/>
      </rPr>
      <t xml:space="preserve"> $250 lies significantly above the DCF valuation range ($88–$128)</t>
    </r>
    <r>
      <rPr>
        <sz val="12"/>
        <color theme="1"/>
        <rFont val="Aptos Narrow"/>
        <family val="2"/>
        <scheme val="minor"/>
      </rPr>
      <t xml:space="preserve">, suggesting the stock may be </t>
    </r>
    <r>
      <rPr>
        <b/>
        <sz val="12"/>
        <color theme="1"/>
        <rFont val="Aptos Narrow"/>
        <scheme val="minor"/>
      </rPr>
      <t>overvalued</t>
    </r>
    <r>
      <rPr>
        <sz val="12"/>
        <color theme="1"/>
        <rFont val="Aptos Narrow"/>
        <family val="2"/>
        <scheme val="minor"/>
      </rPr>
      <t xml:space="preserve"> under conservative cash flow assumptions. However, the </t>
    </r>
    <r>
      <rPr>
        <i/>
        <sz val="12"/>
        <color theme="1"/>
        <rFont val="Aptos Narrow"/>
        <scheme val="minor"/>
      </rPr>
      <t xml:space="preserve">comparable company analysis yields a higher valuation range </t>
    </r>
    <r>
      <rPr>
        <b/>
        <i/>
        <sz val="12"/>
        <color theme="1"/>
        <rFont val="Aptos Narrow"/>
        <scheme val="minor"/>
      </rPr>
      <t>($206–$213)</t>
    </r>
    <r>
      <rPr>
        <sz val="12"/>
        <color theme="1"/>
        <rFont val="Aptos Narrow"/>
        <family val="2"/>
        <scheme val="minor"/>
      </rPr>
      <t>, indicating the market may be pricing the firm based on relative industry multiples rather than intrinsic valuation.</t>
    </r>
  </si>
  <si>
    <t>Purpose of the Sheet</t>
  </si>
  <si>
    <r>
      <t xml:space="preserve">This sheet collects historical financial statement data for Apple (AAPL) from the Income Statement and Balance Sheet &amp; Cash Flow Statement. The goal is to build a reliable financial base that will be used in later sheets to estimate cash flows, cost of capital, and company valuation.
In a DCF valuation, everything starts with historical financial performance, because future projections are usually based on past trends.
Historical data shows how the company has performed over time.
Example insights:
• Revenue growth trends
• Profitability (EBIT margin)
• Investment intensity (CapEx)
• Operating efficiency
This helps determine whether the company is growing, stable, or declining.
DCF valuation relies on future free cash flows.
Those cash flows are estimated using historical trends in:
• Revenue growth
• Operating margins
• Capital investments
• Working capital changes
So this sheet provides the foundation for forecasting.
The data from this sheet feeds directly into the next step of valuation, which is: </t>
    </r>
    <r>
      <rPr>
        <b/>
        <i/>
        <sz val="12"/>
        <color theme="1"/>
        <rFont val="Aptos Narrow"/>
        <scheme val="minor"/>
      </rPr>
      <t>FCFF Calculation</t>
    </r>
    <r>
      <rPr>
        <sz val="12"/>
        <color theme="1"/>
        <rFont val="Aptos Narrow"/>
        <family val="2"/>
        <scheme val="minor"/>
      </rPr>
      <t xml:space="preserve">
</t>
    </r>
  </si>
  <si>
    <t>Interpretation</t>
  </si>
  <si>
    <t>The Financial Data sheet compiles historical income statement and balance sheet data for Apple Inc. to establish the financial foundation required for valuation. Key variables such as revenue, EBIT, depreciation, capital expenditures, and working capital are extracted to analyze operating performance and capital investment trends. These metrics enable the calculation of operating profitability and provide the inputs necessary for estimating Free Cash Flow to the Firm (FCFF) in subsequent sheets. By analyzing historical financial data, the model ensures that future projections and valuation estimates are grounded in the company’s actual financial performance.</t>
  </si>
  <si>
    <t>The FCFF Calculation sheet estimates the Free Cash Flow to the Firm generated by Apple Inc. Free Cash Flow to the Firm represents the cash available to all providers of capital after accounting for operating expenses, taxes, and necessary reinvestments in the business. The calculation begins with EBIT adjusted for taxes to obtain after-tax operating profit, then adds back non-cash expenses such as depreciation. Capital expenditures and changes in working capital are deducted to reflect the cash required to sustain and grow operations. This measure provides a more accurate representation of the company’s true cash-generating ability and serves as the primary input for the Discounted Cash Flow valuation model used in subsequent sheets.</t>
  </si>
  <si>
    <r>
      <t xml:space="preserve">This sheet calculates Free Cash Flow to the Firm (FCFF), which represents the cash generated by the company that is available to all capital providers (both debt holders and equity shareholders).
FCFF is the core input of the DCF valuation model, because the DCF method values a company by estimating the present value of future free cash flows.
FCFF shows how much real cash the company generates from operations after reinvesting in the business.
It answers an important question:
</t>
    </r>
    <r>
      <rPr>
        <b/>
        <i/>
        <sz val="12"/>
        <color theme="1"/>
        <rFont val="Aptos Narrow"/>
        <scheme val="minor"/>
      </rPr>
      <t xml:space="preserve"> How much cash does the company produce that can be used to repay debt, pay dividends, or reinvest?</t>
    </r>
    <r>
      <rPr>
        <sz val="12"/>
        <color theme="1"/>
        <rFont val="Aptos Narrow"/>
        <family val="2"/>
        <scheme val="minor"/>
      </rPr>
      <t xml:space="preserve">
</t>
    </r>
    <r>
      <rPr>
        <b/>
        <sz val="12"/>
        <color theme="1"/>
        <rFont val="Aptos Narrow"/>
        <scheme val="minor"/>
      </rPr>
      <t>Components Explained:</t>
    </r>
    <r>
      <rPr>
        <sz val="12"/>
        <color theme="1"/>
        <rFont val="Aptos Narrow"/>
        <family val="2"/>
        <scheme val="minor"/>
      </rPr>
      <t xml:space="preserve">
1) </t>
    </r>
    <r>
      <rPr>
        <i/>
        <sz val="12"/>
        <color theme="1"/>
        <rFont val="Aptos Narrow"/>
        <scheme val="minor"/>
      </rPr>
      <t>EBIT (Earnings Before Interest and Taxes)</t>
    </r>
    <r>
      <rPr>
        <sz val="12"/>
        <color theme="1"/>
        <rFont val="Aptos Narrow"/>
        <family val="2"/>
        <scheme val="minor"/>
      </rPr>
      <t xml:space="preserve">
Represents operating profit generated by the company before financing costs.
2)</t>
    </r>
    <r>
      <rPr>
        <i/>
        <sz val="12"/>
        <color theme="1"/>
        <rFont val="Aptos Narrow"/>
        <scheme val="minor"/>
      </rPr>
      <t xml:space="preserve"> EBIT(1 − Tax)</t>
    </r>
    <r>
      <rPr>
        <sz val="12"/>
        <color theme="1"/>
        <rFont val="Aptos Narrow"/>
        <family val="2"/>
        <scheme val="minor"/>
      </rPr>
      <t xml:space="preserve">
Converts operating profit into after-tax operating income.
This reflects the profit the company would earn if it had no debt.
3) </t>
    </r>
    <r>
      <rPr>
        <i/>
        <sz val="12"/>
        <color theme="1"/>
        <rFont val="Aptos Narrow"/>
        <scheme val="minor"/>
      </rPr>
      <t>Depreciation &amp; Amortization</t>
    </r>
    <r>
      <rPr>
        <sz val="12"/>
        <color theme="1"/>
        <rFont val="Aptos Narrow"/>
        <family val="2"/>
        <scheme val="minor"/>
      </rPr>
      <t xml:space="preserve">
Depreciation is added back because:
It reduces accounting profit
But does not involve an actual cash outflow
Therefore it must be added back to calculate real cash flow.
4)</t>
    </r>
    <r>
      <rPr>
        <i/>
        <sz val="12"/>
        <color theme="1"/>
        <rFont val="Aptos Narrow"/>
        <scheme val="minor"/>
      </rPr>
      <t xml:space="preserve"> Capital Expenditure (CapEx)</t>
    </r>
    <r>
      <rPr>
        <sz val="12"/>
        <color theme="1"/>
        <rFont val="Aptos Narrow"/>
        <family val="2"/>
        <scheme val="minor"/>
      </rPr>
      <t xml:space="preserve">
CapEx represents investments in:
• Property
• Equipment
• Technology
• Infrastructure
These investments are cash outflows, so they are subtracted from FCFF.
5) </t>
    </r>
    <r>
      <rPr>
        <i/>
        <sz val="12"/>
        <color theme="1"/>
        <rFont val="Aptos Narrow"/>
        <scheme val="minor"/>
      </rPr>
      <t>Change in Working Capital</t>
    </r>
    <r>
      <rPr>
        <sz val="12"/>
        <color theme="1"/>
        <rFont val="Aptos Narrow"/>
        <family val="2"/>
        <scheme val="minor"/>
      </rPr>
      <t xml:space="preserve">
Working capital includes items like:
• Inventory
• Receivables
• Payables
If working capital increases, the company uses cash, so it reduces FCFF.
If working capital decreases, it frees up cash.</t>
    </r>
  </si>
  <si>
    <r>
      <t xml:space="preserve">This sheet calculates the Weighted Average Cost of Capital (WACC), which represents </t>
    </r>
    <r>
      <rPr>
        <b/>
        <i/>
        <sz val="12"/>
        <color theme="1"/>
        <rFont val="Aptos Narrow"/>
        <scheme val="minor"/>
      </rPr>
      <t xml:space="preserve">the minimum return required by investors for investing in the company.
</t>
    </r>
    <r>
      <rPr>
        <sz val="12"/>
        <color theme="1"/>
        <rFont val="Aptos Narrow"/>
        <family val="2"/>
        <scheme val="minor"/>
      </rPr>
      <t xml:space="preserve">
In the DCF model, WACC is used as</t>
    </r>
    <r>
      <rPr>
        <b/>
        <sz val="12"/>
        <color theme="1"/>
        <rFont val="Aptos Narrow"/>
        <scheme val="minor"/>
      </rPr>
      <t xml:space="preserve"> the discount rate to convert future cash flows into their present value.</t>
    </r>
    <r>
      <rPr>
        <sz val="12"/>
        <color theme="1"/>
        <rFont val="Aptos Narrow"/>
        <family val="2"/>
        <scheme val="minor"/>
      </rPr>
      <t xml:space="preserve">
It reflects the overall cost of financing the company, considering both:
• Equity financing (shareholders)
• Debt financing (lenders)
</t>
    </r>
    <r>
      <rPr>
        <b/>
        <sz val="12"/>
        <color theme="1"/>
        <rFont val="Aptos Narrow"/>
        <scheme val="minor"/>
      </rPr>
      <t>Cost of Equity (Re)</t>
    </r>
    <r>
      <rPr>
        <sz val="12"/>
        <color theme="1"/>
        <rFont val="Aptos Narrow"/>
        <family val="2"/>
        <scheme val="minor"/>
      </rPr>
      <t xml:space="preserve">
Cost of equity represents the </t>
    </r>
    <r>
      <rPr>
        <i/>
        <sz val="12"/>
        <color theme="1"/>
        <rFont val="Aptos Narrow"/>
        <scheme val="minor"/>
      </rPr>
      <t>return expected by shareholders for investing in the company’s stock.</t>
    </r>
    <r>
      <rPr>
        <sz val="12"/>
        <color theme="1"/>
        <rFont val="Aptos Narrow"/>
        <family val="2"/>
        <scheme val="minor"/>
      </rPr>
      <t xml:space="preserve">
It is calculated using the </t>
    </r>
    <r>
      <rPr>
        <b/>
        <sz val="12"/>
        <color theme="1"/>
        <rFont val="Aptos Narrow"/>
        <scheme val="minor"/>
      </rPr>
      <t xml:space="preserve">Capital Asset Pricing Model (CAPM): Rf + Beta*(Rm-Rf)
Cost of Debt (Rd)
</t>
    </r>
    <r>
      <rPr>
        <sz val="12"/>
        <color theme="1"/>
        <rFont val="Aptos Narrow"/>
        <scheme val="minor"/>
      </rPr>
      <t>Cost of debt represents the</t>
    </r>
    <r>
      <rPr>
        <i/>
        <sz val="12"/>
        <color theme="1"/>
        <rFont val="Aptos Narrow"/>
        <scheme val="minor"/>
      </rPr>
      <t xml:space="preserve"> interest rate the company pays on its borrowings</t>
    </r>
    <r>
      <rPr>
        <sz val="12"/>
        <color theme="1"/>
        <rFont val="Aptos Narrow"/>
        <scheme val="minor"/>
      </rPr>
      <t xml:space="preserve">.
It is often calculated as: </t>
    </r>
    <r>
      <rPr>
        <b/>
        <sz val="12"/>
        <color theme="1"/>
        <rFont val="Aptos Narrow"/>
        <scheme val="minor"/>
      </rPr>
      <t>Interest Expense / Total Debt</t>
    </r>
    <r>
      <rPr>
        <sz val="12"/>
        <color theme="1"/>
        <rFont val="Aptos Narrow"/>
        <family val="2"/>
        <scheme val="minor"/>
      </rPr>
      <t xml:space="preserve">
Because interest is tax deductible, the effective cost of debt becomes: </t>
    </r>
    <r>
      <rPr>
        <b/>
        <sz val="12"/>
        <color theme="1"/>
        <rFont val="Aptos Narrow"/>
        <scheme val="minor"/>
      </rPr>
      <t xml:space="preserve">Rd*(1-Tax Rate). </t>
    </r>
    <r>
      <rPr>
        <i/>
        <sz val="12"/>
        <color theme="1"/>
        <rFont val="Aptos Narrow"/>
        <scheme val="minor"/>
      </rPr>
      <t>This adjustment reflects the tax shield benefit of debt financing.</t>
    </r>
  </si>
  <si>
    <t>The WACC Calculation sheet determines the Weighted Average Cost of Capital for Apple Inc., which represents the average rate of return required by both equity investors and debt holders. The cost of equity is estimated using the Capital Asset Pricing Model (CAPM), incorporating the risk-free rate, market risk premium, and the company’s beta to capture systematic market risk. The cost of debt is derived from the company’s borrowing costs and adjusted for the tax shield benefit of interest expenses. These costs are weighted according to the firm’s capital structure to obtain the WACC. This rate serves as the discount factor in the DCF model, allowing future free cash flows to be converted into present value and enabling the estimation of the company’s enterprise value.</t>
  </si>
  <si>
    <t>This sheet presents the complete Discounted Cash Flow (DCF) valuation for Apple Inc. using the Free Cash Flow to the Firm (FCFF) approach. The purpose of this model is to estimate the intrinsic value of Apple by forecasting its future cash flows and discounting them to present value using the company’s Weighted Average Cost of Capital (WACC).
The model begins with revenue projections for the next five years based on an assumed annual revenue growth rate of 5%, reflecting stable long-term growth for a mature technology company. Operating profitability is captured using an EBIT margin assumption of 30%, which is consistent with Apple’s historical margins. After applying the tax rate of 16%, Net Operating Profit After Tax (NOPAT) is calculated to measure operating profit available to all capital providers.
To convert accounting profits into actual cash flows, adjustments are made for non-cash expenses and reinvestment needs. Depreciation is added back, while capital expenditures and changes in working capital are deducted, resulting in the calculation of Free Cash Flow to the Firm (FCFF) for each forecast year.
These projected cash flows are then discounted using the company’s WACC of 10.18%, which reflects the overall required return demanded by both equity investors and debt holders. Since companies are assumed to operate indefinitely, a terminal value is calculated using a perpetual growth rate of 2.5%, representing long-term sustainable economic growth. The terminal value captures the value of cash flows beyond the explicit forecast period.
By summing the present value of projected FCFF and the discounted terminal value, the model estimates an Enterprise Value of approximately $1.55 trillion. After adjusting for net debt, the resulting Equity Value is approximately $1.49 trillion. Dividing this value by the total number of shares outstanding results in an intrinsic share price estimate of $101.50.
When compared with the current market price of $275, the model indicates that Apple’s stock appears overvalued by approximately 63%, suggesting that the market price is significantly higher than the intrinsic value estimated by the DCF model. This difference may reflect optimistic market expectations regarding future growth, innovation, or strategic expansion that are not fully captured in the model assumptions.
Overall, the DCF valuation provides a structured framework for estimating Apple’s intrinsic value based on its projected ability to generate cash flows, offering investors a long-term perspective on the company’s fundamental valuation</t>
  </si>
  <si>
    <t>DCF Valuation Model - Interpretation</t>
  </si>
  <si>
    <t>The sensitivity analysis sheet evaluates how changes in key valuation assumptions affect the estimated value of Apple Inc. in the DCF model. Since valuation outcomes are highly dependent on assumptions, particularly the Weighted Average Cost of Capital (WACC) and the terminal growth rate, this analysis helps assess the robustness of the valuation results.
In this model, the sensitivity analysis examines different combinations of WACC ranging from 9% to 11% and terminal growth rates ranging from 2% to 3%. These variables are critical because they directly influence the terminal value and the present value of future cash flows. Even small changes in these assumptions can significantly impact the final valuation.
The analysis first recalculates the Terminal Value (TV) for each combination of WACC and growth rate. Since terminal value typically represents a large portion of total firm value in a DCF model, changes in these inputs can lead to substantial variation in valuation outcomes. The model then computes the present value of the terminal value, followed by updated estimates of Enterprise Value, Equity Value, and finally the intrinsic share price.
The results show that Apple’s estimated intrinsic value per share varies between approximately $88 in the bear-case scenario (higher WACC and lower growth) and $128 in the bull-case scenario (lower WACC and higher growth). The base-case estimate of approximately $104 per share reflects the model’s central assumptions of a 10% WACC and 2.5% terminal growth rate.
This range illustrates the degree of uncertainty inherent in valuation models and highlights how sensitive the company’s valuation is to discount rates and long-term growth expectations. Sensitivity analysis therefore provides investors with a valuation range rather than a single point estimate, enabling better assessment of risk and potential upside or downside.
Overall, the analysis confirms that while the intrinsic value varies across different scenarios, the estimated valuation remains significantly below the current market price, reinforcing the conclusion that the stock appears overvalued under the assumptions used in this model.</t>
  </si>
  <si>
    <t>Sensitivity Analysis - Interpretation</t>
  </si>
  <si>
    <t>Relatve Valuation - Comparable Companies Method - Interpretation</t>
  </si>
  <si>
    <r>
      <t>The relative valuation sheet estimates the value of Apple Inc. using the Comparable Companies Method, which determines a firm’s value by comparing it with similar companies in the same industry. Instead of forecasting cash flows like the DCF model, this approach relies on market multiples derived from peer companies to estimate the company’s fair value
For this analysis, Apple is compared with major technology peers including Alphabet, Microsoft, and Meta, which operate in similar digital and technology-driven markets. Market data such as share price, shares outstanding, total debt, cash balances, and enterprise value were collected for each company. Financial metrics including revenue, EBITDA, net income, and earnings per share were then used to compute valuation multiples.
The key multiples analyzed include</t>
    </r>
    <r>
      <rPr>
        <b/>
        <i/>
        <sz val="12"/>
        <color theme="1"/>
        <rFont val="Aptos Narrow"/>
        <scheme val="minor"/>
      </rPr>
      <t xml:space="preserve"> EV/Revenue, EV/EBITDA, Price-to-Earnings (P/E), and Price-to-Book (P/B)</t>
    </r>
    <r>
      <rPr>
        <sz val="12"/>
        <color theme="1"/>
        <rFont val="Aptos Narrow"/>
        <family val="2"/>
        <scheme val="minor"/>
      </rPr>
      <t xml:space="preserve">. These multiples capture different aspects of company valuation. EV/Revenue measures how the market values the company relative to its sales, EV/EBITDA reflects operating profitability before financing and accounting effects, P/E evaluates valuation relative to earnings, and P/B compares the company’s market value with its accounting book value.
The average and median multiples derived from the peer group are then applied to Apple’s financial metrics to estimate its implied enterprise value and equity value. This results in implied share prices based on each valuation method. </t>
    </r>
    <r>
      <rPr>
        <b/>
        <i/>
        <sz val="12"/>
        <color theme="1"/>
        <rFont val="Aptos Narrow"/>
        <scheme val="minor"/>
      </rPr>
      <t>The analysis indicates implied share prices of approximately $258.19 using EV/Revenue, $206.33 using EV/EBITDA, $48.56 using P/B, and $213.09 using P/E.</t>
    </r>
    <r>
      <rPr>
        <sz val="12"/>
        <color theme="1"/>
        <rFont val="Aptos Narrow"/>
        <family val="2"/>
        <scheme val="minor"/>
      </rPr>
      <t xml:space="preserve">
Since some multiples may be less reliable for technology companies, particularly Price-to-Book, greater emphasis is placed on EV/EBITDA and P/E ratios, which better reflect operating profitability and earnings power. Based on these more relevant multiples, Apple’s estimated target price range falls between approximately $206 and $213, with a </t>
    </r>
    <r>
      <rPr>
        <b/>
        <i/>
        <sz val="12"/>
        <color theme="1"/>
        <rFont val="Aptos Narrow"/>
        <scheme val="minor"/>
      </rPr>
      <t>base target price of around $209.71 per share</t>
    </r>
    <r>
      <rPr>
        <sz val="12"/>
        <color theme="1"/>
        <rFont val="Aptos Narrow"/>
        <family val="2"/>
        <scheme val="minor"/>
      </rPr>
      <t xml:space="preserve">.
When compared to the </t>
    </r>
    <r>
      <rPr>
        <b/>
        <i/>
        <sz val="12"/>
        <color theme="1"/>
        <rFont val="Aptos Narrow"/>
        <scheme val="minor"/>
      </rPr>
      <t>current market price of approximately $250.12</t>
    </r>
    <r>
      <rPr>
        <sz val="12"/>
        <color theme="1"/>
        <rFont val="Aptos Narrow"/>
        <family val="2"/>
        <scheme val="minor"/>
      </rPr>
      <t xml:space="preserve">, the analysis suggests a </t>
    </r>
    <r>
      <rPr>
        <b/>
        <i/>
        <sz val="12"/>
        <color theme="1"/>
        <rFont val="Aptos Narrow"/>
        <scheme val="minor"/>
      </rPr>
      <t>potential downside of around 16%</t>
    </r>
    <r>
      <rPr>
        <sz val="12"/>
        <color theme="1"/>
        <rFont val="Aptos Narrow"/>
        <family val="2"/>
        <scheme val="minor"/>
      </rPr>
      <t xml:space="preserve">, indicating that Apple’s stock may currently </t>
    </r>
    <r>
      <rPr>
        <b/>
        <i/>
        <sz val="12"/>
        <color theme="1"/>
        <rFont val="Aptos Narrow"/>
        <scheme val="minor"/>
      </rPr>
      <t>be overvalued relative to its industry peers</t>
    </r>
    <r>
      <rPr>
        <sz val="12"/>
        <color theme="1"/>
        <rFont val="Aptos Narrow"/>
        <family val="2"/>
        <scheme val="minor"/>
      </rPr>
      <t xml:space="preserve">. This conclusion aligns with the results from the DCF valuation, providing additional support for the assessment that the stock price may be trading above its intrinsic value under current assumptions.
Overall, the relative valuation approach complements the DCF analysis </t>
    </r>
    <r>
      <rPr>
        <b/>
        <i/>
        <sz val="12"/>
        <color theme="1"/>
        <rFont val="Aptos Narrow"/>
        <scheme val="minor"/>
      </rPr>
      <t>by incorporating market-based benchmarks</t>
    </r>
    <r>
      <rPr>
        <sz val="12"/>
        <color theme="1"/>
        <rFont val="Aptos Narrow"/>
        <family val="2"/>
        <scheme val="minor"/>
      </rPr>
      <t>, offering an alternative perspective on Apple’s valuation using comparable companies within the technology sector.</t>
    </r>
  </si>
  <si>
    <t>The chart illustrates the projected growth in Apple’s Free Cash Flow to the Firm (FCFF) over the forecast period. The steady increase reflects stable revenue growth assumptions and consistent operating margins, indicating strong and predictable cash generation capacity.</t>
  </si>
  <si>
    <t>FCFF Forecast Chart</t>
  </si>
  <si>
    <t>Enterprise Value Breakdown Chart</t>
  </si>
  <si>
    <t>Component</t>
  </si>
  <si>
    <t>PV of FCFF</t>
  </si>
  <si>
    <t>PV of Terminal Value</t>
  </si>
  <si>
    <t>Percentage of Total</t>
  </si>
  <si>
    <t>The enterprise value breakdown chart illustrates the contribution of forecast free cash flows and terminal value to Apple’s overall valuation. The results show that a significant portion of the company’s value is derived from the terminal value, which captures the present value of cash flows beyond the explicit forecast period. This highlights the importance of long-term growth assumptions in DCF valuation models.</t>
  </si>
  <si>
    <t>DCF Sensitivity Heatmap - WACC vs Terminal Growth</t>
  </si>
  <si>
    <r>
      <t xml:space="preserve">The sensitivity analysis illustrates how Apple’s intrinsic valuation changes with variations in the discount rate (WACC) and terminal growth rate assumptions. The heatmap highlights that higher growth assumptions and lower discount rates significantly increase the estimated share price, while higher discount rates reduce valuation. This analysis helps assess the robustness of the DCF model and provides a range of potential valuations under different economic scenarios.
Example insight:
</t>
    </r>
    <r>
      <rPr>
        <i/>
        <sz val="12"/>
        <color theme="1"/>
        <rFont val="Aptos Narrow"/>
        <scheme val="minor"/>
      </rPr>
      <t xml:space="preserve">• Lower WACC → Higher company value
• Higher growth → Higher company value
</t>
    </r>
    <r>
      <rPr>
        <sz val="12"/>
        <color theme="1"/>
        <rFont val="Aptos Narrow"/>
        <family val="2"/>
        <scheme val="minor"/>
      </rPr>
      <t>This helps investors understand valuation uncertainty.</t>
    </r>
  </si>
  <si>
    <t xml:space="preserve">Comparables Multiples Chart </t>
  </si>
  <si>
    <t>The comparable multiples chart illustrates how Apple’s valuation compares with its industry peers. The comparison across EV/Revenue, EV/EBITDA, and P/E ratios helps identify whether Apple is trading at a premium or discount relative to similar technology companies. Differences in multiples reflect variations in growth expectations, profitability, and market sentiment across the peer group.</t>
  </si>
  <si>
    <r>
      <rPr>
        <b/>
        <sz val="14"/>
        <color theme="1"/>
        <rFont val="Aptos Narrow (Body)"/>
      </rPr>
      <t>Limitations of the Model:</t>
    </r>
    <r>
      <rPr>
        <sz val="12"/>
        <color theme="1"/>
        <rFont val="Aptos Narrow"/>
        <family val="2"/>
        <scheme val="minor"/>
      </rPr>
      <t xml:space="preserve">
• DCF is sensitive to WACC assumptions
• Terminal value accounts for majority of valuation
• Market sentiment may cause temporary mispricing
• Relative valuation depends on peer selection
While the valuation model provides a structured estimate of Apple’s intrinsic value, it is sensitive to key assumptions such as discount rates and long-term growth expectations. Additionally, terminal value contributes a large portion of total valuation, making long-term assumptions particularly important. Therefore, valuation results should be interpreted as indicative estimates rather than precise predictions.</t>
    </r>
  </si>
  <si>
    <r>
      <rPr>
        <b/>
        <sz val="14"/>
        <color theme="1"/>
        <rFont val="Aptos Narrow (Body)"/>
      </rPr>
      <t>Conclusion:</t>
    </r>
    <r>
      <rPr>
        <b/>
        <sz val="16"/>
        <color theme="1"/>
        <rFont val="Aptos Narrow (Body)"/>
      </rPr>
      <t xml:space="preserve">
</t>
    </r>
    <r>
      <rPr>
        <sz val="12"/>
        <color theme="1"/>
        <rFont val="Aptos Narrow"/>
        <family val="2"/>
        <scheme val="minor"/>
      </rPr>
      <t xml:space="preserve">
This valuation project aimed to estimate the intrinsic value of Apple Inc. using both Discounted Cash Flow (DCF) and Relative Valuation methods. The DCF model was developed by forecasting Apple’s future free cash flows based on assumptions regarding revenue growth, operating margins, capital expenditures, and working capital requirements. These projected cash flows were then discounted using the company’s Weighted Average Cost of Capital (WACC) to determine the present value of the firm.
The results from the DCF model indicate an intrinsic value per share that is significantly lower than Apple’s current market price. Sensitivity analysis further demonstrated that the valuation is particularly influenced by changes in the discount rate and terminal growth assumptions, highlighting the importance of long-term growth expectations in determining firm value.
In addition to the DCF approach, a Comparable Company Analysis was conducted using key valuation multiples such as EV/Revenue, EV/EBITDA, Price-to-Earnings (P/E), and Price-to-Book (P/B). By comparing Apple with major technology peers including Microsoft, Alphabet, and Meta, the relative valuation provided an alternative market-based estimate of Apple’s equity value. The results from this method suggest a valuation range that is closer to, but still generally below, the current market price.
Overall, the analysis indicates that Apple’s stock appears to be trading at a premium relative to its fundamental valuation estimates. This premium may reflect strong investor confidence in the company’s long-term growth potential, innovation capabilities, and dominant ecosystem within the technology industry. While valuation models provide structured estimates of intrinsic value, actual market prices are also influenced by market sentiment, expectations of future technological developments, and macroeconomic conditions.
In conclusion, the valuation exercise demonstrates how both intrinsic valuation techniques and market-based comparisons can be used together to assess a company’s fair value and support informed investment decision-making.</t>
    </r>
  </si>
  <si>
    <t>APPLE INC VALUATION ANALYSIS</t>
  </si>
  <si>
    <t>DCF &amp; Relative Valuation Project</t>
  </si>
  <si>
    <r>
      <t xml:space="preserve">Companies Compared: </t>
    </r>
    <r>
      <rPr>
        <b/>
        <sz val="16"/>
        <color theme="1"/>
        <rFont val="Aptos Narrow (Body)"/>
      </rPr>
      <t xml:space="preserve">Apple Inc | Microsoft | Alphabet | Meta   </t>
    </r>
    <r>
      <rPr>
        <sz val="16"/>
        <color theme="1"/>
        <rFont val="Aptos Narrow (Body)"/>
      </rPr>
      <t xml:space="preserve">                                                                                                                    Benchmark : </t>
    </r>
    <r>
      <rPr>
        <b/>
        <sz val="16"/>
        <color theme="1"/>
        <rFont val="Aptos Narrow (Body)"/>
      </rPr>
      <t>Technology Sector</t>
    </r>
    <r>
      <rPr>
        <sz val="16"/>
        <color theme="1"/>
        <rFont val="Aptos Narrow (Body)"/>
      </rPr>
      <t xml:space="preserve"> </t>
    </r>
  </si>
  <si>
    <t>VALUATION SUMMARY</t>
  </si>
  <si>
    <t>METRIC</t>
  </si>
  <si>
    <t>VALUE</t>
  </si>
  <si>
    <t>Intrinsic Price (DCF)</t>
  </si>
  <si>
    <t>Relative Target Price</t>
  </si>
  <si>
    <t>Current Market Price</t>
  </si>
  <si>
    <t>RELATIVE VALUATION - COMPARABLES COMPANY METHOD</t>
  </si>
  <si>
    <t>FCFF FORECAST</t>
  </si>
  <si>
    <t>ENTERPRISE VALUE BREAKDOWN</t>
  </si>
  <si>
    <t>DCF Sensitivity (WACC vs Growth)</t>
  </si>
  <si>
    <t>RELATIVE VALUATION SUMMARY</t>
  </si>
  <si>
    <t>Implied Price</t>
  </si>
  <si>
    <t>FOOTBALL FIELD ANALYSIS</t>
  </si>
  <si>
    <t>KEY INSIGHTS</t>
  </si>
  <si>
    <t>• Apple generates strong and stable cash flows
• Terminal value accounts for majority of DCF valuation
• Relative valuation indicates smaller downside than DCF
• Market price reflects optimistic growth expectations</t>
  </si>
  <si>
    <t>This project aims to estimate the intrinsic value of Apple Inc. using both Discounted Cash Flow (DCF) and Relative Valuation approaches. The objective is to evaluate whether Apple’s current market price accurately reflects the company’s underlying financial performance and long-term growth potential.
The DCF valuation model was developed by projecting Apple’s future revenues, operating profits, and free cash flows over a five-year forecast period. Key assumptions were made regarding revenue growth, operating margins, tax rates, capital expenditures, and working capital requirements. These projected cash flows were discounted using the company’s Weighted Average Cost of Capital (WACC) to determine their present value. A terminal value was also calculated to capture the value of cash flows beyond the forecast period, reflecting the company’s long-term sustainable growth.
The DCF analysis produced an estimated intrinsic share value significantly below Apple’s current market price, suggesting that the stock may be trading at a premium relative to its fundamental cash flow valuation. Sensitivity analysis was conducted to evaluate how changes in key assumptions such as WACC and terminal growth rate impact the valuation results, highlighting the importance of these parameters in long-term valuation models.
To complement the intrinsic valuation approach, a Comparable Company Analysis was performed using key valuation multiples including EV/Revenue, EV/EBITDA, Price-to-Earnings (P/E), and Price-to-Book (P/B). Apple was compared with major technology peers such as Microsoft, Alphabet, and Meta to estimate its value based on prevailing market multiples. The results from relative valuation produced a target price range closer to the current market price, though still indicating that the stock may be somewhat overvalued relative to peer benchmarks.
Overall, the combined valuation approaches provide a comprehensive assessment of Apple’s financial value and market positioning. While the DCF model offers a conservative estimate based on projected cash flows, the relative valuation reflects current market sentiment and industry benchmarks. Together, these methods provide a balanced framework for evaluating Apple’s valuation and supporting informed investment analysis.</t>
  </si>
  <si>
    <t>EXECUTIVE SUMMARY</t>
  </si>
  <si>
    <t>IP &gt; CP</t>
  </si>
  <si>
    <t>IP &lt; 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</si>
</sst>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0.0%"/>
    <numFmt numFmtId="165" formatCode="0.0"/>
    <numFmt numFmtId="166" formatCode="&quot;$&quot;#,##0.00"/>
  </numFmts>
  <fonts count="28" x14ac:knownFonts="1">
    <font>
      <sz val="12"/>
      <color theme="1"/>
      <name val="Aptos Narrow"/>
      <family val="2"/>
      <scheme val="minor"/>
    </font>
    <font>
      <sz val="12"/>
      <color theme="1"/>
      <name val="Aptos Narrow"/>
      <family val="2"/>
      <scheme val="minor"/>
    </font>
    <font>
      <b/>
      <sz val="12"/>
      <color theme="1"/>
      <name val="Aptos Narrow"/>
      <scheme val="minor"/>
    </font>
    <font>
      <b/>
      <sz val="12"/>
      <color theme="2"/>
      <name val="Aptos Narrow"/>
      <scheme val="minor"/>
    </font>
    <font>
      <b/>
      <sz val="12"/>
      <color theme="0"/>
      <name val="Aptos Narrow"/>
      <scheme val="minor"/>
    </font>
    <font>
      <b/>
      <sz val="12"/>
      <color rgb="FF000000"/>
      <name val="Aptos Narrow"/>
      <family val="2"/>
      <scheme val="minor"/>
    </font>
    <font>
      <sz val="12"/>
      <color rgb="FF000000"/>
      <name val="Aptos Narrow"/>
      <family val="2"/>
      <scheme val="minor"/>
    </font>
    <font>
      <sz val="12"/>
      <color rgb="FF000000"/>
      <name val="Aptos Narrow"/>
      <scheme val="minor"/>
    </font>
    <font>
      <b/>
      <sz val="12"/>
      <color rgb="FF000000"/>
      <name val="Aptos Narrow"/>
      <scheme val="minor"/>
    </font>
    <font>
      <sz val="12"/>
      <color theme="1"/>
      <name val="Aptos Narrow"/>
      <scheme val="minor"/>
    </font>
    <font>
      <b/>
      <sz val="12"/>
      <color rgb="FFFFFF00"/>
      <name val="Aptos Narrow"/>
      <scheme val="minor"/>
    </font>
    <font>
      <i/>
      <sz val="12"/>
      <color theme="1"/>
      <name val="Aptos Narrow"/>
      <scheme val="minor"/>
    </font>
    <font>
      <b/>
      <i/>
      <sz val="12"/>
      <color theme="1"/>
      <name val="Aptos Narrow"/>
      <scheme val="minor"/>
    </font>
    <font>
      <b/>
      <sz val="14"/>
      <color theme="1"/>
      <name val="Aptos Narrow (Body)"/>
    </font>
    <font>
      <b/>
      <sz val="16"/>
      <color theme="1"/>
      <name val="Aptos Narrow (Body)"/>
    </font>
    <font>
      <sz val="16"/>
      <color theme="1"/>
      <name val="Aptos Narrow (Body)"/>
    </font>
    <font>
      <sz val="14"/>
      <color theme="1"/>
      <name val="Aptos Narrow"/>
      <family val="2"/>
      <scheme val="minor"/>
    </font>
    <font>
      <sz val="16"/>
      <color theme="1"/>
      <name val="Aptos Narrow"/>
      <family val="2"/>
      <scheme val="minor"/>
    </font>
    <font>
      <b/>
      <sz val="16"/>
      <color theme="1"/>
      <name val="Aptos Narrow"/>
      <scheme val="minor"/>
    </font>
    <font>
      <b/>
      <sz val="20"/>
      <color theme="0"/>
      <name val="Aptos Narrow (Body)"/>
    </font>
    <font>
      <b/>
      <sz val="20"/>
      <color theme="0"/>
      <name val="Aptos Narrow"/>
      <family val="2"/>
      <scheme val="minor"/>
    </font>
    <font>
      <b/>
      <sz val="16"/>
      <color theme="0"/>
      <name val="Aptos Narrow"/>
      <scheme val="minor"/>
    </font>
    <font>
      <b/>
      <sz val="14"/>
      <color theme="1"/>
      <name val="Aptos Narrow"/>
      <scheme val="minor"/>
    </font>
    <font>
      <b/>
      <sz val="14"/>
      <color rgb="FF000000"/>
      <name val="Aptos Narrow"/>
      <family val="2"/>
      <scheme val="minor"/>
    </font>
    <font>
      <sz val="14"/>
      <color rgb="FF000000"/>
      <name val="Aptos Narrow"/>
      <family val="2"/>
      <scheme val="minor"/>
    </font>
    <font>
      <sz val="14"/>
      <color theme="1"/>
      <name val="Aptos Narrow"/>
      <scheme val="minor"/>
    </font>
    <font>
      <sz val="18"/>
      <color theme="1"/>
      <name val="Aptos Narrow"/>
      <family val="2"/>
      <scheme val="minor"/>
    </font>
    <font>
      <b/>
      <sz val="18"/>
      <color theme="0"/>
      <name val="Aptos Narrow"/>
      <scheme val="minor"/>
    </font>
  </fonts>
  <fills count="9">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002060"/>
        <bgColor indexed="64"/>
      </patternFill>
    </fill>
  </fills>
  <borders count="11">
    <border>
      <left/>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right/>
      <top style="thin">
        <color theme="1"/>
      </top>
      <bottom/>
      <diagonal/>
    </border>
    <border>
      <left style="thin">
        <color theme="1"/>
      </left>
      <right/>
      <top style="thin">
        <color theme="1"/>
      </top>
      <bottom style="thin">
        <color theme="1"/>
      </bottom>
      <diagonal/>
    </border>
    <border>
      <left style="thin">
        <color theme="1"/>
      </left>
      <right/>
      <top/>
      <bottom style="thin">
        <color theme="1"/>
      </bottom>
      <diagonal/>
    </border>
    <border>
      <left style="thin">
        <color theme="1"/>
      </left>
      <right/>
      <top/>
      <bottom/>
      <diagonal/>
    </border>
    <border>
      <left/>
      <right style="thin">
        <color theme="1"/>
      </right>
      <top/>
      <bottom/>
      <diagonal/>
    </border>
    <border>
      <left style="thin">
        <color theme="1"/>
      </left>
      <right/>
      <top style="thin">
        <color theme="1"/>
      </top>
      <bottom/>
      <diagonal/>
    </border>
    <border>
      <left/>
      <right style="thin">
        <color theme="1"/>
      </right>
      <top style="thin">
        <color theme="1"/>
      </top>
      <bottom/>
      <diagonal/>
    </border>
    <border>
      <left/>
      <right style="thin">
        <color theme="1"/>
      </right>
      <top/>
      <bottom style="thin">
        <color theme="1"/>
      </bottom>
      <diagonal/>
    </border>
  </borders>
  <cellStyleXfs count="2">
    <xf numFmtId="0" fontId="0" fillId="0" borderId="0"/>
    <xf numFmtId="9" fontId="1" fillId="0" borderId="0" applyFont="0" applyFill="0" applyBorder="0" applyAlignment="0" applyProtection="0"/>
  </cellStyleXfs>
  <cellXfs count="120">
    <xf numFmtId="0" fontId="0" fillId="0" borderId="0" xfId="0"/>
    <xf numFmtId="0" fontId="0" fillId="0" borderId="1" xfId="0" applyBorder="1"/>
    <xf numFmtId="3" fontId="0" fillId="0" borderId="1" xfId="0" applyNumberFormat="1" applyBorder="1"/>
    <xf numFmtId="10" fontId="0" fillId="0" borderId="1" xfId="1" applyNumberFormat="1" applyFont="1" applyBorder="1"/>
    <xf numFmtId="0" fontId="2" fillId="0" borderId="1" xfId="0" applyFont="1" applyBorder="1"/>
    <xf numFmtId="10" fontId="2" fillId="0" borderId="1" xfId="1" applyNumberFormat="1" applyFont="1" applyBorder="1"/>
    <xf numFmtId="165" fontId="2" fillId="0" borderId="1" xfId="0" applyNumberFormat="1" applyFont="1" applyBorder="1"/>
    <xf numFmtId="3" fontId="2" fillId="0" borderId="1" xfId="0" applyNumberFormat="1" applyFont="1" applyBorder="1"/>
    <xf numFmtId="1" fontId="0" fillId="0" borderId="1" xfId="0" applyNumberFormat="1" applyBorder="1"/>
    <xf numFmtId="1" fontId="2" fillId="0" borderId="1" xfId="0" applyNumberFormat="1" applyFont="1" applyBorder="1"/>
    <xf numFmtId="0" fontId="7" fillId="0" borderId="1" xfId="0" applyFont="1" applyBorder="1"/>
    <xf numFmtId="0" fontId="6" fillId="0" borderId="1" xfId="0" applyFont="1" applyBorder="1"/>
    <xf numFmtId="9" fontId="7" fillId="0" borderId="1" xfId="0" applyNumberFormat="1" applyFont="1" applyBorder="1"/>
    <xf numFmtId="0" fontId="0" fillId="0" borderId="0" xfId="0" applyAlignment="1">
      <alignment horizontal="right"/>
    </xf>
    <xf numFmtId="2" fontId="0" fillId="0" borderId="1" xfId="0" applyNumberFormat="1" applyBorder="1"/>
    <xf numFmtId="0" fontId="5" fillId="0" borderId="1" xfId="0" applyFont="1" applyBorder="1"/>
    <xf numFmtId="0" fontId="7" fillId="0" borderId="1" xfId="0" applyFont="1" applyBorder="1" applyAlignment="1">
      <alignment horizontal="right"/>
    </xf>
    <xf numFmtId="9" fontId="0" fillId="0" borderId="1" xfId="0" applyNumberFormat="1" applyBorder="1"/>
    <xf numFmtId="3" fontId="6" fillId="0" borderId="1" xfId="0" applyNumberFormat="1" applyFont="1" applyBorder="1"/>
    <xf numFmtId="1" fontId="6" fillId="0" borderId="1" xfId="0" applyNumberFormat="1" applyFont="1" applyBorder="1"/>
    <xf numFmtId="10" fontId="6" fillId="0" borderId="1" xfId="1" applyNumberFormat="1" applyFont="1" applyBorder="1"/>
    <xf numFmtId="9" fontId="6" fillId="0" borderId="1" xfId="0" applyNumberFormat="1" applyFont="1" applyBorder="1"/>
    <xf numFmtId="10" fontId="6" fillId="0" borderId="1" xfId="0" applyNumberFormat="1" applyFont="1" applyBorder="1"/>
    <xf numFmtId="164" fontId="0" fillId="0" borderId="1" xfId="0" applyNumberFormat="1" applyBorder="1"/>
    <xf numFmtId="0" fontId="2" fillId="3" borderId="1" xfId="0" applyFont="1" applyFill="1" applyBorder="1"/>
    <xf numFmtId="9" fontId="2" fillId="3" borderId="1" xfId="0" applyNumberFormat="1" applyFont="1" applyFill="1" applyBorder="1"/>
    <xf numFmtId="0" fontId="0" fillId="0" borderId="0" xfId="0" applyAlignment="1">
      <alignment vertical="top" wrapText="1"/>
    </xf>
    <xf numFmtId="10" fontId="2" fillId="0" borderId="1" xfId="0" applyNumberFormat="1" applyFont="1" applyBorder="1"/>
    <xf numFmtId="0" fontId="4" fillId="2" borderId="1" xfId="0" applyFont="1" applyFill="1" applyBorder="1"/>
    <xf numFmtId="10" fontId="4" fillId="2" borderId="1" xfId="0" applyNumberFormat="1" applyFont="1" applyFill="1" applyBorder="1"/>
    <xf numFmtId="0" fontId="0" fillId="0" borderId="4" xfId="0" applyBorder="1"/>
    <xf numFmtId="0" fontId="7" fillId="0" borderId="4" xfId="0" applyFont="1" applyBorder="1" applyAlignment="1">
      <alignment horizontal="right"/>
    </xf>
    <xf numFmtId="9" fontId="0" fillId="0" borderId="4" xfId="0" applyNumberFormat="1" applyBorder="1"/>
    <xf numFmtId="1" fontId="6" fillId="0" borderId="4" xfId="0" applyNumberFormat="1" applyFont="1" applyBorder="1"/>
    <xf numFmtId="9" fontId="6" fillId="0" borderId="4" xfId="0" applyNumberFormat="1" applyFont="1" applyBorder="1"/>
    <xf numFmtId="1" fontId="0" fillId="0" borderId="4" xfId="0" applyNumberFormat="1" applyBorder="1"/>
    <xf numFmtId="0" fontId="0" fillId="0" borderId="1" xfId="0" applyBorder="1" applyAlignment="1">
      <alignment horizontal="right"/>
    </xf>
    <xf numFmtId="0" fontId="8" fillId="0" borderId="1" xfId="0" applyFont="1" applyBorder="1"/>
    <xf numFmtId="2" fontId="2" fillId="0" borderId="1" xfId="0" applyNumberFormat="1" applyFont="1" applyBorder="1"/>
    <xf numFmtId="2" fontId="4" fillId="2" borderId="1" xfId="0" applyNumberFormat="1" applyFont="1" applyFill="1" applyBorder="1"/>
    <xf numFmtId="1" fontId="4" fillId="2" borderId="1" xfId="0" applyNumberFormat="1" applyFont="1" applyFill="1" applyBorder="1"/>
    <xf numFmtId="0" fontId="7" fillId="4" borderId="1" xfId="0" applyFont="1" applyFill="1" applyBorder="1"/>
    <xf numFmtId="1" fontId="7" fillId="4" borderId="1" xfId="0" applyNumberFormat="1" applyFont="1" applyFill="1" applyBorder="1"/>
    <xf numFmtId="1" fontId="7" fillId="4" borderId="4" xfId="0" applyNumberFormat="1" applyFont="1" applyFill="1" applyBorder="1"/>
    <xf numFmtId="0" fontId="9" fillId="4" borderId="1" xfId="0" applyFont="1" applyFill="1" applyBorder="1"/>
    <xf numFmtId="1" fontId="9" fillId="4" borderId="1" xfId="0" applyNumberFormat="1" applyFont="1" applyFill="1" applyBorder="1"/>
    <xf numFmtId="0" fontId="6" fillId="4" borderId="1" xfId="0" applyFont="1" applyFill="1" applyBorder="1"/>
    <xf numFmtId="0" fontId="0" fillId="4" borderId="1" xfId="0" applyFill="1" applyBorder="1"/>
    <xf numFmtId="1" fontId="0" fillId="4" borderId="1" xfId="0" applyNumberFormat="1" applyFill="1" applyBorder="1"/>
    <xf numFmtId="3" fontId="0" fillId="4" borderId="1" xfId="0" applyNumberFormat="1" applyFill="1" applyBorder="1"/>
    <xf numFmtId="164" fontId="0" fillId="0" borderId="1" xfId="1" applyNumberFormat="1" applyFont="1" applyBorder="1"/>
    <xf numFmtId="166" fontId="6" fillId="0" borderId="1" xfId="0" applyNumberFormat="1" applyFont="1" applyBorder="1" applyAlignment="1">
      <alignment horizontal="right"/>
    </xf>
    <xf numFmtId="0" fontId="2" fillId="0" borderId="1" xfId="0" applyFont="1" applyBorder="1" applyAlignment="1">
      <alignment horizontal="right"/>
    </xf>
    <xf numFmtId="0" fontId="2" fillId="6" borderId="1" xfId="0" applyFont="1" applyFill="1" applyBorder="1"/>
    <xf numFmtId="0" fontId="2" fillId="6" borderId="1" xfId="0" applyFont="1" applyFill="1" applyBorder="1" applyAlignment="1">
      <alignment horizontal="right"/>
    </xf>
    <xf numFmtId="3" fontId="0" fillId="0" borderId="1" xfId="0" applyNumberFormat="1" applyBorder="1" applyAlignment="1">
      <alignment horizontal="right"/>
    </xf>
    <xf numFmtId="0" fontId="0" fillId="4" borderId="0" xfId="0" applyFill="1"/>
    <xf numFmtId="0" fontId="2" fillId="4" borderId="1" xfId="0" applyFont="1" applyFill="1" applyBorder="1"/>
    <xf numFmtId="2" fontId="2" fillId="4" borderId="1" xfId="0" applyNumberFormat="1" applyFont="1" applyFill="1" applyBorder="1"/>
    <xf numFmtId="0" fontId="0" fillId="7" borderId="1" xfId="0" applyFill="1" applyBorder="1"/>
    <xf numFmtId="0" fontId="0" fillId="7" borderId="0" xfId="0" applyFill="1"/>
    <xf numFmtId="2" fontId="0" fillId="7" borderId="1" xfId="0" applyNumberFormat="1" applyFill="1" applyBorder="1"/>
    <xf numFmtId="0" fontId="2" fillId="7" borderId="1" xfId="0" applyFont="1" applyFill="1" applyBorder="1"/>
    <xf numFmtId="2" fontId="2" fillId="7" borderId="1" xfId="0" applyNumberFormat="1" applyFont="1" applyFill="1" applyBorder="1"/>
    <xf numFmtId="1" fontId="0" fillId="7" borderId="1" xfId="0" applyNumberFormat="1" applyFill="1" applyBorder="1"/>
    <xf numFmtId="0" fontId="0" fillId="7" borderId="1" xfId="0" applyFill="1" applyBorder="1" applyAlignment="1">
      <alignment horizontal="right"/>
    </xf>
    <xf numFmtId="3" fontId="0" fillId="7" borderId="1" xfId="0" applyNumberFormat="1" applyFill="1" applyBorder="1" applyAlignment="1">
      <alignment horizontal="right"/>
    </xf>
    <xf numFmtId="3" fontId="0" fillId="7" borderId="1" xfId="0" applyNumberFormat="1" applyFill="1" applyBorder="1"/>
    <xf numFmtId="2" fontId="0" fillId="7" borderId="1" xfId="0" applyNumberFormat="1" applyFill="1" applyBorder="1" applyAlignment="1">
      <alignment horizontal="right"/>
    </xf>
    <xf numFmtId="2" fontId="9" fillId="0" borderId="1" xfId="0" applyNumberFormat="1" applyFont="1" applyBorder="1"/>
    <xf numFmtId="2" fontId="2" fillId="5" borderId="1" xfId="0" applyNumberFormat="1" applyFont="1" applyFill="1" applyBorder="1"/>
    <xf numFmtId="0" fontId="0" fillId="0" borderId="0" xfId="0" applyAlignment="1">
      <alignment vertical="center" wrapText="1"/>
    </xf>
    <xf numFmtId="0" fontId="0" fillId="0" borderId="0" xfId="0" applyAlignment="1">
      <alignment vertical="center"/>
    </xf>
    <xf numFmtId="9" fontId="0" fillId="0" borderId="1" xfId="1" applyFont="1" applyBorder="1"/>
    <xf numFmtId="0" fontId="0" fillId="3" borderId="1" xfId="0" applyFill="1" applyBorder="1"/>
    <xf numFmtId="0" fontId="16" fillId="0" borderId="1" xfId="0" applyFont="1" applyBorder="1" applyAlignment="1">
      <alignment horizontal="center"/>
    </xf>
    <xf numFmtId="0" fontId="22" fillId="7" borderId="1" xfId="0" applyFont="1" applyFill="1" applyBorder="1"/>
    <xf numFmtId="9" fontId="25" fillId="7" borderId="1" xfId="1" applyFont="1" applyFill="1" applyBorder="1"/>
    <xf numFmtId="2" fontId="25" fillId="0" borderId="1" xfId="0" applyNumberFormat="1" applyFont="1" applyBorder="1"/>
    <xf numFmtId="2" fontId="22" fillId="0" borderId="1" xfId="0" applyNumberFormat="1" applyFont="1" applyBorder="1"/>
    <xf numFmtId="0" fontId="24" fillId="0" borderId="0" xfId="0" applyFont="1"/>
    <xf numFmtId="0" fontId="21" fillId="2" borderId="0" xfId="0" applyFont="1" applyFill="1" applyAlignment="1">
      <alignment horizontal="center" vertical="center"/>
    </xf>
    <xf numFmtId="0" fontId="21" fillId="2" borderId="3" xfId="0" applyFont="1" applyFill="1" applyBorder="1" applyAlignment="1">
      <alignment horizontal="center" vertical="center"/>
    </xf>
    <xf numFmtId="0" fontId="17" fillId="0" borderId="1" xfId="0" applyFont="1" applyBorder="1" applyAlignment="1">
      <alignment horizontal="left" vertical="center" wrapText="1"/>
    </xf>
    <xf numFmtId="0" fontId="27" fillId="2" borderId="1" xfId="0" applyFont="1" applyFill="1" applyBorder="1" applyAlignment="1">
      <alignment horizontal="center"/>
    </xf>
    <xf numFmtId="0" fontId="26" fillId="0" borderId="1" xfId="0" applyFont="1" applyBorder="1" applyAlignment="1">
      <alignment horizontal="left" vertical="center" wrapText="1"/>
    </xf>
    <xf numFmtId="0" fontId="22" fillId="7" borderId="1" xfId="0" applyFont="1" applyFill="1" applyBorder="1" applyAlignment="1">
      <alignment horizontal="left"/>
    </xf>
    <xf numFmtId="0" fontId="16" fillId="0" borderId="1" xfId="0" applyFont="1" applyBorder="1" applyAlignment="1">
      <alignment horizontal="center"/>
    </xf>
    <xf numFmtId="8" fontId="16" fillId="0" borderId="1" xfId="0" applyNumberFormat="1" applyFont="1" applyBorder="1" applyAlignment="1">
      <alignment horizontal="center"/>
    </xf>
    <xf numFmtId="9" fontId="16" fillId="0" borderId="1" xfId="0" applyNumberFormat="1" applyFont="1" applyBorder="1" applyAlignment="1">
      <alignment horizontal="center"/>
    </xf>
    <xf numFmtId="0" fontId="22" fillId="7" borderId="1" xfId="0" applyFont="1" applyFill="1" applyBorder="1" applyAlignment="1">
      <alignment horizontal="center"/>
    </xf>
    <xf numFmtId="0" fontId="16" fillId="0" borderId="1" xfId="0" applyFont="1" applyBorder="1" applyAlignment="1">
      <alignment horizontal="left"/>
    </xf>
    <xf numFmtId="0" fontId="19" fillId="2" borderId="1" xfId="0" applyFont="1" applyFill="1" applyBorder="1" applyAlignment="1">
      <alignment horizontal="center" vertical="center"/>
    </xf>
    <xf numFmtId="0" fontId="20" fillId="2" borderId="1" xfId="0" applyFont="1" applyFill="1" applyBorder="1" applyAlignment="1">
      <alignment horizontal="center" vertical="center"/>
    </xf>
    <xf numFmtId="0" fontId="18" fillId="0" borderId="1" xfId="0" applyFont="1" applyBorder="1" applyAlignment="1">
      <alignment horizontal="center"/>
    </xf>
    <xf numFmtId="0" fontId="15" fillId="0" borderId="1" xfId="0" applyFont="1" applyBorder="1" applyAlignment="1">
      <alignment horizontal="left" vertical="center"/>
    </xf>
    <xf numFmtId="0" fontId="0" fillId="0" borderId="1" xfId="0" applyBorder="1" applyAlignment="1">
      <alignment horizontal="left" vertical="center"/>
    </xf>
    <xf numFmtId="0" fontId="4" fillId="2" borderId="1" xfId="0" applyFont="1" applyFill="1" applyBorder="1" applyAlignment="1">
      <alignment horizontal="center"/>
    </xf>
    <xf numFmtId="0" fontId="0" fillId="0" borderId="1" xfId="0" applyBorder="1" applyAlignment="1">
      <alignment horizontal="left" vertical="top" wrapText="1"/>
    </xf>
    <xf numFmtId="0" fontId="10" fillId="8" borderId="1" xfId="0" applyFont="1" applyFill="1" applyBorder="1" applyAlignment="1">
      <alignment horizontal="center"/>
    </xf>
    <xf numFmtId="0" fontId="4" fillId="2" borderId="2" xfId="0" applyFont="1" applyFill="1" applyBorder="1" applyAlignment="1">
      <alignment horizontal="center"/>
    </xf>
    <xf numFmtId="0" fontId="0" fillId="0" borderId="1" xfId="0" applyBorder="1" applyAlignment="1">
      <alignment horizontal="left" vertical="center" wrapText="1"/>
    </xf>
    <xf numFmtId="0" fontId="3" fillId="2" borderId="1" xfId="0" applyFont="1" applyFill="1" applyBorder="1" applyAlignment="1">
      <alignment horizontal="center"/>
    </xf>
    <xf numFmtId="0" fontId="10" fillId="8" borderId="0" xfId="0" applyFont="1" applyFill="1" applyAlignment="1">
      <alignment horizontal="center" wrapText="1"/>
    </xf>
    <xf numFmtId="0" fontId="0" fillId="0" borderId="8" xfId="0" applyBorder="1" applyAlignment="1">
      <alignment horizontal="left" vertical="center" wrapText="1"/>
    </xf>
    <xf numFmtId="0" fontId="0" fillId="0" borderId="3" xfId="0" applyBorder="1" applyAlignment="1">
      <alignment horizontal="left" vertical="center" wrapText="1"/>
    </xf>
    <xf numFmtId="0" fontId="0" fillId="0" borderId="9" xfId="0" applyBorder="1" applyAlignment="1">
      <alignment horizontal="left" vertical="center" wrapText="1"/>
    </xf>
    <xf numFmtId="0" fontId="0" fillId="0" borderId="6" xfId="0" applyBorder="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5" xfId="0" applyBorder="1" applyAlignment="1">
      <alignment horizontal="left" vertical="center" wrapText="1"/>
    </xf>
    <xf numFmtId="0" fontId="0" fillId="0" borderId="2" xfId="0" applyBorder="1" applyAlignment="1">
      <alignment horizontal="left" vertical="center" wrapText="1"/>
    </xf>
    <xf numFmtId="0" fontId="0" fillId="0" borderId="10" xfId="0" applyBorder="1" applyAlignment="1">
      <alignment horizontal="left" vertical="center" wrapText="1"/>
    </xf>
    <xf numFmtId="0" fontId="4" fillId="2" borderId="2" xfId="0" applyFont="1" applyFill="1" applyBorder="1" applyAlignment="1">
      <alignment horizontal="center" vertical="top"/>
    </xf>
    <xf numFmtId="0" fontId="10" fillId="8" borderId="6" xfId="0" applyFont="1" applyFill="1" applyBorder="1" applyAlignment="1">
      <alignment horizontal="center"/>
    </xf>
    <xf numFmtId="0" fontId="10" fillId="8" borderId="0" xfId="0" applyFont="1" applyFill="1" applyAlignment="1">
      <alignment horizontal="center"/>
    </xf>
    <xf numFmtId="0" fontId="4" fillId="2" borderId="0" xfId="0" applyFont="1" applyFill="1" applyAlignment="1">
      <alignment horizontal="center"/>
    </xf>
    <xf numFmtId="0" fontId="4" fillId="2" borderId="5" xfId="0" applyFont="1" applyFill="1" applyBorder="1" applyAlignment="1">
      <alignment horizontal="center"/>
    </xf>
    <xf numFmtId="0" fontId="23" fillId="7" borderId="1" xfId="0" applyFont="1" applyFill="1" applyBorder="1" applyAlignment="1">
      <alignment horizontal="center"/>
    </xf>
    <xf numFmtId="0" fontId="24" fillId="0" borderId="1" xfId="0" applyFont="1" applyBorder="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DAF064"/>
      <color rgb="FFFF9B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Comparables</a:t>
            </a:r>
            <a:r>
              <a:rPr lang="en-US" baseline="0"/>
              <a:t> Valuation Multiples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'Relative Valuation'!$C$42</c:f>
              <c:strCache>
                <c:ptCount val="1"/>
                <c:pt idx="0">
                  <c:v>EV/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'Relative Valuation'!$B$43:$B$46</c:f>
              <c:strCache>
                <c:ptCount val="4"/>
                <c:pt idx="0">
                  <c:v>AAPL</c:v>
                </c:pt>
                <c:pt idx="1">
                  <c:v>GOOG</c:v>
                </c:pt>
                <c:pt idx="2">
                  <c:v>MSFT</c:v>
                </c:pt>
                <c:pt idx="3">
                  <c:v>META</c:v>
                </c:pt>
              </c:strCache>
            </c:strRef>
          </c:cat>
          <c:val>
            <c:numRef>
              <c:f>'Relative Valuation'!$C$43:$C$46</c:f>
              <c:numCache>
                <c:formatCode>0.00</c:formatCode>
                <c:ptCount val="4"/>
                <c:pt idx="0">
                  <c:v>8.6704201167539381</c:v>
                </c:pt>
                <c:pt idx="1">
                  <c:v>9.2232044802351325</c:v>
                </c:pt>
                <c:pt idx="2">
                  <c:v>9.7720601860187983</c:v>
                </c:pt>
                <c:pt idx="3">
                  <c:v>8.0994473692067324</c:v>
                </c:pt>
              </c:numCache>
            </c:numRef>
          </c:val>
          <c:extLst>
            <c:ext xmlns:c16="http://schemas.microsoft.com/office/drawing/2014/chart" uri="{C3380CC4-5D6E-409C-BE32-E72D297353CC}">
              <c16:uniqueId val="{00000000-C50E-C54A-AD1F-D1214AE5B08F}"/>
            </c:ext>
          </c:extLst>
        </c:ser>
        <c:ser>
          <c:idx val="1"/>
          <c:order val="1"/>
          <c:tx>
            <c:strRef>
              <c:f>'Relative Valuation'!$D$42</c:f>
              <c:strCache>
                <c:ptCount val="1"/>
                <c:pt idx="0">
                  <c:v>P/B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'Relative Valuation'!$B$43:$B$46</c:f>
              <c:strCache>
                <c:ptCount val="4"/>
                <c:pt idx="0">
                  <c:v>AAPL</c:v>
                </c:pt>
                <c:pt idx="1">
                  <c:v>GOOG</c:v>
                </c:pt>
                <c:pt idx="2">
                  <c:v>MSFT</c:v>
                </c:pt>
                <c:pt idx="3">
                  <c:v>META</c:v>
                </c:pt>
              </c:strCache>
            </c:strRef>
          </c:cat>
          <c:val>
            <c:numRef>
              <c:f>'Relative Valuation'!$D$43:$D$46</c:f>
              <c:numCache>
                <c:formatCode>0.00</c:formatCode>
                <c:ptCount val="4"/>
                <c:pt idx="0">
                  <c:v>42.315346411157726</c:v>
                </c:pt>
                <c:pt idx="1">
                  <c:v>8.8783205904663287</c:v>
                </c:pt>
                <c:pt idx="2">
                  <c:v>7.5512480972177807</c:v>
                </c:pt>
                <c:pt idx="3">
                  <c:v>7.2715325234875241</c:v>
                </c:pt>
              </c:numCache>
            </c:numRef>
          </c:val>
          <c:extLst>
            <c:ext xmlns:c16="http://schemas.microsoft.com/office/drawing/2014/chart" uri="{C3380CC4-5D6E-409C-BE32-E72D297353CC}">
              <c16:uniqueId val="{00000001-C50E-C54A-AD1F-D1214AE5B08F}"/>
            </c:ext>
          </c:extLst>
        </c:ser>
        <c:ser>
          <c:idx val="2"/>
          <c:order val="2"/>
          <c:tx>
            <c:strRef>
              <c:f>'Relative Valuation'!$E$42</c:f>
              <c:strCache>
                <c:ptCount val="1"/>
                <c:pt idx="0">
                  <c:v>P/E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'Relative Valuation'!$B$43:$B$46</c:f>
              <c:strCache>
                <c:ptCount val="4"/>
                <c:pt idx="0">
                  <c:v>AAPL</c:v>
                </c:pt>
                <c:pt idx="1">
                  <c:v>GOOG</c:v>
                </c:pt>
                <c:pt idx="2">
                  <c:v>MSFT</c:v>
                </c:pt>
                <c:pt idx="3">
                  <c:v>META</c:v>
                </c:pt>
              </c:strCache>
            </c:strRef>
          </c:cat>
          <c:val>
            <c:numRef>
              <c:f>'Relative Valuation'!$E$43:$E$46</c:f>
              <c:numCache>
                <c:formatCode>0.00</c:formatCode>
                <c:ptCount val="4"/>
                <c:pt idx="0">
                  <c:v>31.620733249051835</c:v>
                </c:pt>
                <c:pt idx="1">
                  <c:v>27.861367837338261</c:v>
                </c:pt>
                <c:pt idx="2">
                  <c:v>24.737335834896811</c:v>
                </c:pt>
                <c:pt idx="3">
                  <c:v>26.1264367816092</c:v>
                </c:pt>
              </c:numCache>
            </c:numRef>
          </c:val>
          <c:extLst>
            <c:ext xmlns:c16="http://schemas.microsoft.com/office/drawing/2014/chart" uri="{C3380CC4-5D6E-409C-BE32-E72D297353CC}">
              <c16:uniqueId val="{00000002-C50E-C54A-AD1F-D1214AE5B08F}"/>
            </c:ext>
          </c:extLst>
        </c:ser>
        <c:ser>
          <c:idx val="3"/>
          <c:order val="3"/>
          <c:tx>
            <c:strRef>
              <c:f>'Relative Valuation'!$F$42</c:f>
              <c:strCache>
                <c:ptCount val="1"/>
                <c:pt idx="0">
                  <c:v>EV/ EBITDA</c:v>
                </c:pt>
              </c:strCache>
            </c:strRef>
          </c:tx>
          <c:spPr>
            <a:solidFill>
              <a:schemeClr val="bg2">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'Relative Valuation'!$B$43:$B$46</c:f>
              <c:strCache>
                <c:ptCount val="4"/>
                <c:pt idx="0">
                  <c:v>AAPL</c:v>
                </c:pt>
                <c:pt idx="1">
                  <c:v>GOOG</c:v>
                </c:pt>
                <c:pt idx="2">
                  <c:v>MSFT</c:v>
                </c:pt>
                <c:pt idx="3">
                  <c:v>META</c:v>
                </c:pt>
              </c:strCache>
            </c:strRef>
          </c:cat>
          <c:val>
            <c:numRef>
              <c:f>'Relative Valuation'!$F$43:$F$46</c:f>
              <c:numCache>
                <c:formatCode>0.00</c:formatCode>
                <c:ptCount val="4"/>
                <c:pt idx="0">
                  <c:v>24.701981661456358</c:v>
                </c:pt>
                <c:pt idx="1">
                  <c:v>24.740727817546194</c:v>
                </c:pt>
                <c:pt idx="2">
                  <c:v>16.155493312982717</c:v>
                </c:pt>
                <c:pt idx="3">
                  <c:v>15.974890472264752</c:v>
                </c:pt>
              </c:numCache>
            </c:numRef>
          </c:val>
          <c:extLst>
            <c:ext xmlns:c16="http://schemas.microsoft.com/office/drawing/2014/chart" uri="{C3380CC4-5D6E-409C-BE32-E72D297353CC}">
              <c16:uniqueId val="{00000003-C50E-C54A-AD1F-D1214AE5B08F}"/>
            </c:ext>
          </c:extLst>
        </c:ser>
        <c:dLbls>
          <c:dLblPos val="outEnd"/>
          <c:showLegendKey val="0"/>
          <c:showVal val="1"/>
          <c:showCatName val="0"/>
          <c:showSerName val="0"/>
          <c:showPercent val="0"/>
          <c:showBubbleSize val="0"/>
        </c:dLbls>
        <c:gapWidth val="100"/>
        <c:overlap val="-24"/>
        <c:axId val="1743428079"/>
        <c:axId val="1780517679"/>
      </c:barChart>
      <c:catAx>
        <c:axId val="1743428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0517679"/>
        <c:crosses val="autoZero"/>
        <c:auto val="1"/>
        <c:lblAlgn val="ctr"/>
        <c:lblOffset val="100"/>
        <c:noMultiLvlLbl val="0"/>
      </c:catAx>
      <c:valAx>
        <c:axId val="178051767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3428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FCFF</a:t>
            </a:r>
            <a:r>
              <a:rPr lang="en-US" baseline="0"/>
              <a:t> Forecast Chart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'AAPL DCF Valuation'!$B$38</c:f>
              <c:strCache>
                <c:ptCount val="1"/>
                <c:pt idx="0">
                  <c:v>Year</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'AAPL DCF Valuation'!$B$39:$B$43</c:f>
              <c:numCache>
                <c:formatCode>General</c:formatCode>
                <c:ptCount val="5"/>
                <c:pt idx="0">
                  <c:v>2026</c:v>
                </c:pt>
                <c:pt idx="1">
                  <c:v>2027</c:v>
                </c:pt>
                <c:pt idx="2">
                  <c:v>2028</c:v>
                </c:pt>
                <c:pt idx="3">
                  <c:v>2029</c:v>
                </c:pt>
                <c:pt idx="4">
                  <c:v>2030</c:v>
                </c:pt>
              </c:numCache>
            </c:numRef>
          </c:val>
          <c:smooth val="0"/>
          <c:extLst>
            <c:ext xmlns:c16="http://schemas.microsoft.com/office/drawing/2014/chart" uri="{C3380CC4-5D6E-409C-BE32-E72D297353CC}">
              <c16:uniqueId val="{00000000-B11F-8F4C-977F-BA48EEB19546}"/>
            </c:ext>
          </c:extLst>
        </c:ser>
        <c:ser>
          <c:idx val="1"/>
          <c:order val="1"/>
          <c:tx>
            <c:strRef>
              <c:f>'AAPL DCF Valuation'!$C$38</c:f>
              <c:strCache>
                <c:ptCount val="1"/>
                <c:pt idx="0">
                  <c:v>FCFF</c:v>
                </c:pt>
              </c:strCache>
            </c:strRef>
          </c:tx>
          <c:spPr>
            <a:ln w="22225" cap="rnd">
              <a:solidFill>
                <a:schemeClr val="accent2"/>
              </a:solidFill>
            </a:ln>
            <a:effectLst>
              <a:glow rad="139700">
                <a:schemeClr val="accent2">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'AAPL DCF Valuation'!$C$39:$C$43</c:f>
              <c:numCache>
                <c:formatCode>0</c:formatCode>
                <c:ptCount val="5"/>
                <c:pt idx="0">
                  <c:v>109908.1201</c:v>
                </c:pt>
                <c:pt idx="1">
                  <c:v>115403.526105</c:v>
                </c:pt>
                <c:pt idx="2">
                  <c:v>121173.70241025</c:v>
                </c:pt>
                <c:pt idx="3">
                  <c:v>127232.38753076254</c:v>
                </c:pt>
                <c:pt idx="4">
                  <c:v>133594.00690730065</c:v>
                </c:pt>
              </c:numCache>
            </c:numRef>
          </c:val>
          <c:smooth val="0"/>
          <c:extLst>
            <c:ext xmlns:c16="http://schemas.microsoft.com/office/drawing/2014/chart" uri="{C3380CC4-5D6E-409C-BE32-E72D297353CC}">
              <c16:uniqueId val="{00000001-B11F-8F4C-977F-BA48EEB19546}"/>
            </c:ext>
          </c:extLst>
        </c:ser>
        <c:dLbls>
          <c:showLegendKey val="0"/>
          <c:showVal val="0"/>
          <c:showCatName val="0"/>
          <c:showSerName val="0"/>
          <c:showPercent val="0"/>
          <c:showBubbleSize val="0"/>
        </c:dLbls>
        <c:smooth val="0"/>
        <c:axId val="1829732559"/>
        <c:axId val="1828756815"/>
      </c:lineChart>
      <c:catAx>
        <c:axId val="18297325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8756815"/>
        <c:crosses val="autoZero"/>
        <c:auto val="1"/>
        <c:lblAlgn val="ctr"/>
        <c:lblOffset val="100"/>
        <c:noMultiLvlLbl val="0"/>
      </c:catAx>
      <c:valAx>
        <c:axId val="18287568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97325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Enterprise</a:t>
            </a:r>
            <a:r>
              <a:rPr lang="en-US" baseline="0"/>
              <a:t> Value Breakdown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'AAPL DCF Valuation'!$M$38</c:f>
              <c:strCache>
                <c:ptCount val="1"/>
                <c:pt idx="0">
                  <c:v>Percentage of 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D27-AC42-A500-035EB3AD420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D27-AC42-A500-035EB3AD42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'AAPL DCF Valuation'!$K$39:$K$40</c:f>
              <c:strCache>
                <c:ptCount val="2"/>
                <c:pt idx="0">
                  <c:v>PV of FCFF</c:v>
                </c:pt>
                <c:pt idx="1">
                  <c:v>PV of Terminal Value</c:v>
                </c:pt>
              </c:strCache>
            </c:strRef>
          </c:cat>
          <c:val>
            <c:numRef>
              <c:f>'AAPL DCF Valuation'!$M$39:$M$40</c:f>
              <c:numCache>
                <c:formatCode>0%</c:formatCode>
                <c:ptCount val="2"/>
                <c:pt idx="0">
                  <c:v>0.29241943203739418</c:v>
                </c:pt>
                <c:pt idx="1">
                  <c:v>0.70758056796260582</c:v>
                </c:pt>
              </c:numCache>
            </c:numRef>
          </c:val>
          <c:extLst>
            <c:ext xmlns:c16="http://schemas.microsoft.com/office/drawing/2014/chart" uri="{C3380CC4-5D6E-409C-BE32-E72D297353CC}">
              <c16:uniqueId val="{00000004-AD27-AC42-A500-035EB3AD4201}"/>
            </c:ext>
          </c:extLst>
        </c:ser>
        <c:dLbls>
          <c:dLblPos val="inEnd"/>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Football</a:t>
            </a:r>
            <a:r>
              <a:rPr lang="en-US" baseline="0"/>
              <a:t> Field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stacked"/>
        <c:varyColors val="0"/>
        <c:ser>
          <c:idx val="0"/>
          <c:order val="0"/>
          <c:tx>
            <c:strRef>
              <c:f>'Football Field Analysis'!$L$6</c:f>
              <c:strCache>
                <c:ptCount val="1"/>
                <c:pt idx="0">
                  <c:v>Start</c:v>
                </c:pt>
              </c:strCache>
            </c:strRef>
          </c:tx>
          <c:spPr>
            <a:no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'Football Field Analysis'!$K$7:$K$11</c:f>
              <c:strCache>
                <c:ptCount val="5"/>
                <c:pt idx="0">
                  <c:v>Comps</c:v>
                </c:pt>
                <c:pt idx="1">
                  <c:v>DCF Bear</c:v>
                </c:pt>
                <c:pt idx="2">
                  <c:v>DCF Base</c:v>
                </c:pt>
                <c:pt idx="3">
                  <c:v>DCF Bull</c:v>
                </c:pt>
                <c:pt idx="4">
                  <c:v>52W H/L</c:v>
                </c:pt>
              </c:strCache>
            </c:strRef>
          </c:cat>
          <c:val>
            <c:numRef>
              <c:f>'Football Field Analysis'!$L$7:$L$11</c:f>
              <c:numCache>
                <c:formatCode>0.00</c:formatCode>
                <c:ptCount val="5"/>
                <c:pt idx="0">
                  <c:v>206.32726670716096</c:v>
                </c:pt>
                <c:pt idx="1">
                  <c:v>87.865241844594578</c:v>
                </c:pt>
                <c:pt idx="2">
                  <c:v>98.703512049636416</c:v>
                </c:pt>
                <c:pt idx="3">
                  <c:v>112.84265311575533</c:v>
                </c:pt>
                <c:pt idx="4">
                  <c:v>169.21</c:v>
                </c:pt>
              </c:numCache>
            </c:numRef>
          </c:val>
          <c:extLst>
            <c:ext xmlns:c16="http://schemas.microsoft.com/office/drawing/2014/chart" uri="{C3380CC4-5D6E-409C-BE32-E72D297353CC}">
              <c16:uniqueId val="{00000000-3331-8449-91EC-B84CEAD1E84D}"/>
            </c:ext>
          </c:extLst>
        </c:ser>
        <c:ser>
          <c:idx val="1"/>
          <c:order val="1"/>
          <c:tx>
            <c:strRef>
              <c:f>'Football Field Analysis'!$O$6</c:f>
              <c:strCache>
                <c:ptCount val="1"/>
                <c:pt idx="0">
                  <c:v>Range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8ABED6B3-4B0F-B240-8E3D-B2D94AE27B56}"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331-8449-91EC-B84CEAD1E84D}"/>
                </c:ext>
              </c:extLst>
            </c:dLbl>
            <c:dLbl>
              <c:idx val="1"/>
              <c:tx>
                <c:rich>
                  <a:bodyPr/>
                  <a:lstStyle/>
                  <a:p>
                    <a:fld id="{3D189AD8-EB1A-E141-B15D-AD8C7C8B7A27}"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331-8449-91EC-B84CEAD1E84D}"/>
                </c:ext>
              </c:extLst>
            </c:dLbl>
            <c:dLbl>
              <c:idx val="2"/>
              <c:tx>
                <c:rich>
                  <a:bodyPr/>
                  <a:lstStyle/>
                  <a:p>
                    <a:fld id="{DA8A2BFD-5B7B-5A4D-BB65-9C5F38745630}"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331-8449-91EC-B84CEAD1E84D}"/>
                </c:ext>
              </c:extLst>
            </c:dLbl>
            <c:dLbl>
              <c:idx val="3"/>
              <c:tx>
                <c:rich>
                  <a:bodyPr/>
                  <a:lstStyle/>
                  <a:p>
                    <a:fld id="{7E5F0BF2-753C-4D40-A36A-D742A6F6C7DC}"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331-8449-91EC-B84CEAD1E84D}"/>
                </c:ext>
              </c:extLst>
            </c:dLbl>
            <c:dLbl>
              <c:idx val="4"/>
              <c:tx>
                <c:rich>
                  <a:bodyPr/>
                  <a:lstStyle/>
                  <a:p>
                    <a:fld id="{102C25F1-5D61-7F40-994D-5E0B50193524}"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331-8449-91EC-B84CEAD1E84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a:solidFill>
                        <a:schemeClr val="lt1">
                          <a:lumMod val="95000"/>
                          <a:alpha val="54000"/>
                        </a:schemeClr>
                      </a:solidFill>
                    </a:ln>
                    <a:effectLst/>
                  </c:spPr>
                </c15:leaderLines>
              </c:ext>
            </c:extLst>
          </c:dLbls>
          <c:cat>
            <c:strRef>
              <c:f>'Football Field Analysis'!$K$7:$K$11</c:f>
              <c:strCache>
                <c:ptCount val="5"/>
                <c:pt idx="0">
                  <c:v>Comps</c:v>
                </c:pt>
                <c:pt idx="1">
                  <c:v>DCF Bear</c:v>
                </c:pt>
                <c:pt idx="2">
                  <c:v>DCF Base</c:v>
                </c:pt>
                <c:pt idx="3">
                  <c:v>DCF Bull</c:v>
                </c:pt>
                <c:pt idx="4">
                  <c:v>52W H/L</c:v>
                </c:pt>
              </c:strCache>
            </c:strRef>
          </c:cat>
          <c:val>
            <c:numRef>
              <c:f>'Football Field Analysis'!$O$7:$O$11</c:f>
              <c:numCache>
                <c:formatCode>0.00</c:formatCode>
                <c:ptCount val="5"/>
                <c:pt idx="0">
                  <c:v>6.759920444507145</c:v>
                </c:pt>
                <c:pt idx="1">
                  <c:v>21.937737930058901</c:v>
                </c:pt>
                <c:pt idx="2">
                  <c:v>21.296487950363584</c:v>
                </c:pt>
                <c:pt idx="3">
                  <c:v>15.349903097889836</c:v>
                </c:pt>
                <c:pt idx="4">
                  <c:v>119.41</c:v>
                </c:pt>
              </c:numCache>
            </c:numRef>
          </c:val>
          <c:extLst>
            <c:ext xmlns:c15="http://schemas.microsoft.com/office/drawing/2012/chart" uri="{02D57815-91ED-43cb-92C2-25804820EDAC}">
              <c15:datalabelsRange>
                <c15:f>'Football Field Analysis'!$N$7:$N$11</c15:f>
                <c15:dlblRangeCache>
                  <c:ptCount val="5"/>
                  <c:pt idx="0">
                    <c:v>213.09</c:v>
                  </c:pt>
                  <c:pt idx="1">
                    <c:v>109.80</c:v>
                  </c:pt>
                  <c:pt idx="2">
                    <c:v>120</c:v>
                  </c:pt>
                  <c:pt idx="3">
                    <c:v>128.19</c:v>
                  </c:pt>
                  <c:pt idx="4">
                    <c:v>288.62</c:v>
                  </c:pt>
                </c15:dlblRangeCache>
              </c15:datalabelsRange>
            </c:ext>
            <c:ext xmlns:c16="http://schemas.microsoft.com/office/drawing/2014/chart" uri="{C3380CC4-5D6E-409C-BE32-E72D297353CC}">
              <c16:uniqueId val="{00000006-3331-8449-91EC-B84CEAD1E84D}"/>
            </c:ext>
          </c:extLst>
        </c:ser>
        <c:dLbls>
          <c:dLblPos val="ctr"/>
          <c:showLegendKey val="0"/>
          <c:showVal val="1"/>
          <c:showCatName val="0"/>
          <c:showSerName val="0"/>
          <c:showPercent val="0"/>
          <c:showBubbleSize val="0"/>
        </c:dLbls>
        <c:gapWidth val="150"/>
        <c:overlap val="100"/>
        <c:axId val="154721135"/>
        <c:axId val="154926271"/>
      </c:barChart>
      <c:lineChart>
        <c:grouping val="stacked"/>
        <c:varyColors val="0"/>
        <c:ser>
          <c:idx val="2"/>
          <c:order val="2"/>
          <c:tx>
            <c:v>Current Price</c:v>
          </c:tx>
          <c:spPr>
            <a:ln w="25400" cap="rnd">
              <a:solidFill>
                <a:schemeClr val="accent3"/>
              </a:solidFill>
              <a:prstDash val="dash"/>
              <a:round/>
            </a:ln>
            <a:effectLst>
              <a:outerShdw blurRad="57150" dist="19050" dir="5400000" algn="ctr" rotWithShape="0">
                <a:srgbClr val="000000">
                  <a:alpha val="63000"/>
                </a:srgbClr>
              </a:outerShdw>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7-3331-8449-91EC-B84CEAD1E84D}"/>
                </c:ext>
              </c:extLst>
            </c:dLbl>
            <c:dLbl>
              <c:idx val="1"/>
              <c:delete val="1"/>
              <c:extLst>
                <c:ext xmlns:c15="http://schemas.microsoft.com/office/drawing/2012/chart" uri="{CE6537A1-D6FC-4f65-9D91-7224C49458BB}"/>
                <c:ext xmlns:c16="http://schemas.microsoft.com/office/drawing/2014/chart" uri="{C3380CC4-5D6E-409C-BE32-E72D297353CC}">
                  <c16:uniqueId val="{00000008-3331-8449-91EC-B84CEAD1E84D}"/>
                </c:ext>
              </c:extLst>
            </c:dLbl>
            <c:dLbl>
              <c:idx val="2"/>
              <c:delete val="1"/>
              <c:extLst>
                <c:ext xmlns:c15="http://schemas.microsoft.com/office/drawing/2012/chart" uri="{CE6537A1-D6FC-4f65-9D91-7224C49458BB}"/>
                <c:ext xmlns:c16="http://schemas.microsoft.com/office/drawing/2014/chart" uri="{C3380CC4-5D6E-409C-BE32-E72D297353CC}">
                  <c16:uniqueId val="{00000009-3331-8449-91EC-B84CEAD1E84D}"/>
                </c:ext>
              </c:extLst>
            </c:dLbl>
            <c:dLbl>
              <c:idx val="3"/>
              <c:delete val="1"/>
              <c:extLst>
                <c:ext xmlns:c15="http://schemas.microsoft.com/office/drawing/2012/chart" uri="{CE6537A1-D6FC-4f65-9D91-7224C49458BB}"/>
                <c:ext xmlns:c16="http://schemas.microsoft.com/office/drawing/2014/chart" uri="{C3380CC4-5D6E-409C-BE32-E72D297353CC}">
                  <c16:uniqueId val="{0000000A-3331-8449-91EC-B84CEAD1E84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'Football Field Analysis'!$P$7:$P$11</c:f>
              <c:numCache>
                <c:formatCode>0.00</c:formatCode>
                <c:ptCount val="5"/>
                <c:pt idx="0">
                  <c:v>250.12</c:v>
                </c:pt>
                <c:pt idx="1">
                  <c:v>250.12</c:v>
                </c:pt>
                <c:pt idx="2">
                  <c:v>250.12</c:v>
                </c:pt>
                <c:pt idx="3">
                  <c:v>250.12</c:v>
                </c:pt>
                <c:pt idx="4">
                  <c:v>250.12</c:v>
                </c:pt>
              </c:numCache>
            </c:numRef>
          </c:val>
          <c:smooth val="0"/>
          <c:extLst>
            <c:ext xmlns:c16="http://schemas.microsoft.com/office/drawing/2014/chart" uri="{C3380CC4-5D6E-409C-BE32-E72D297353CC}">
              <c16:uniqueId val="{0000000B-3331-8449-91EC-B84CEAD1E84D}"/>
            </c:ext>
          </c:extLst>
        </c:ser>
        <c:dLbls>
          <c:showLegendKey val="0"/>
          <c:showVal val="0"/>
          <c:showCatName val="0"/>
          <c:showSerName val="0"/>
          <c:showPercent val="0"/>
          <c:showBubbleSize val="0"/>
        </c:dLbls>
        <c:marker val="1"/>
        <c:smooth val="0"/>
        <c:axId val="1198016687"/>
        <c:axId val="1197730367"/>
      </c:lineChart>
      <c:catAx>
        <c:axId val="154721135"/>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926271"/>
        <c:crosses val="autoZero"/>
        <c:auto val="1"/>
        <c:lblAlgn val="ctr"/>
        <c:lblOffset val="100"/>
        <c:noMultiLvlLbl val="0"/>
      </c:catAx>
      <c:valAx>
        <c:axId val="154926271"/>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721135"/>
        <c:crosses val="max"/>
        <c:crossBetween val="between"/>
      </c:valAx>
      <c:valAx>
        <c:axId val="119773036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8016687"/>
        <c:crosses val="max"/>
        <c:crossBetween val="between"/>
      </c:valAx>
      <c:catAx>
        <c:axId val="1198016687"/>
        <c:scaling>
          <c:orientation val="minMax"/>
        </c:scaling>
        <c:delete val="1"/>
        <c:axPos val="b"/>
        <c:majorTickMark val="out"/>
        <c:minorTickMark val="none"/>
        <c:tickLblPos val="nextTo"/>
        <c:crossAx val="11977303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FCFF</a:t>
            </a:r>
            <a:r>
              <a:rPr lang="en-US" baseline="0"/>
              <a:t> Forecast Chart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'AAPL DCF Valuation'!$B$38</c:f>
              <c:strCache>
                <c:ptCount val="1"/>
                <c:pt idx="0">
                  <c:v>Year</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'AAPL DCF Valuation'!$B$39:$B$43</c:f>
              <c:numCache>
                <c:formatCode>General</c:formatCode>
                <c:ptCount val="5"/>
                <c:pt idx="0">
                  <c:v>2026</c:v>
                </c:pt>
                <c:pt idx="1">
                  <c:v>2027</c:v>
                </c:pt>
                <c:pt idx="2">
                  <c:v>2028</c:v>
                </c:pt>
                <c:pt idx="3">
                  <c:v>2029</c:v>
                </c:pt>
                <c:pt idx="4">
                  <c:v>2030</c:v>
                </c:pt>
              </c:numCache>
            </c:numRef>
          </c:val>
          <c:smooth val="0"/>
          <c:extLst>
            <c:ext xmlns:c16="http://schemas.microsoft.com/office/drawing/2014/chart" uri="{C3380CC4-5D6E-409C-BE32-E72D297353CC}">
              <c16:uniqueId val="{00000000-AEB2-184A-8056-09419AB0FAEC}"/>
            </c:ext>
          </c:extLst>
        </c:ser>
        <c:ser>
          <c:idx val="1"/>
          <c:order val="1"/>
          <c:tx>
            <c:strRef>
              <c:f>'AAPL DCF Valuation'!$C$38</c:f>
              <c:strCache>
                <c:ptCount val="1"/>
                <c:pt idx="0">
                  <c:v>FCFF</c:v>
                </c:pt>
              </c:strCache>
            </c:strRef>
          </c:tx>
          <c:spPr>
            <a:ln w="22225" cap="rnd">
              <a:solidFill>
                <a:schemeClr val="accent2"/>
              </a:solidFill>
            </a:ln>
            <a:effectLst>
              <a:glow rad="139700">
                <a:schemeClr val="accent2">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'AAPL DCF Valuation'!$C$39:$C$43</c:f>
              <c:numCache>
                <c:formatCode>0</c:formatCode>
                <c:ptCount val="5"/>
                <c:pt idx="0">
                  <c:v>109908.1201</c:v>
                </c:pt>
                <c:pt idx="1">
                  <c:v>115403.526105</c:v>
                </c:pt>
                <c:pt idx="2">
                  <c:v>121173.70241025</c:v>
                </c:pt>
                <c:pt idx="3">
                  <c:v>127232.38753076254</c:v>
                </c:pt>
                <c:pt idx="4">
                  <c:v>133594.00690730065</c:v>
                </c:pt>
              </c:numCache>
            </c:numRef>
          </c:val>
          <c:smooth val="0"/>
          <c:extLst>
            <c:ext xmlns:c16="http://schemas.microsoft.com/office/drawing/2014/chart" uri="{C3380CC4-5D6E-409C-BE32-E72D297353CC}">
              <c16:uniqueId val="{00000001-AEB2-184A-8056-09419AB0FAEC}"/>
            </c:ext>
          </c:extLst>
        </c:ser>
        <c:dLbls>
          <c:showLegendKey val="0"/>
          <c:showVal val="0"/>
          <c:showCatName val="0"/>
          <c:showSerName val="0"/>
          <c:showPercent val="0"/>
          <c:showBubbleSize val="0"/>
        </c:dLbls>
        <c:smooth val="0"/>
        <c:axId val="1829732559"/>
        <c:axId val="1828756815"/>
      </c:lineChart>
      <c:catAx>
        <c:axId val="18297325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8756815"/>
        <c:crosses val="autoZero"/>
        <c:auto val="1"/>
        <c:lblAlgn val="ctr"/>
        <c:lblOffset val="100"/>
        <c:noMultiLvlLbl val="0"/>
      </c:catAx>
      <c:valAx>
        <c:axId val="18287568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97325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Enterprise</a:t>
            </a:r>
            <a:r>
              <a:rPr lang="en-US" baseline="0"/>
              <a:t> Value Breakdown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'AAPL DCF Valuation'!$M$38</c:f>
              <c:strCache>
                <c:ptCount val="1"/>
                <c:pt idx="0">
                  <c:v>Percentage of 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670-1744-88CE-2186B31C4E3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670-1744-88CE-2186B31C4E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'AAPL DCF Valuation'!$K$39:$K$40</c:f>
              <c:strCache>
                <c:ptCount val="2"/>
                <c:pt idx="0">
                  <c:v>PV of FCFF</c:v>
                </c:pt>
                <c:pt idx="1">
                  <c:v>PV of Terminal Value</c:v>
                </c:pt>
              </c:strCache>
            </c:strRef>
          </c:cat>
          <c:val>
            <c:numRef>
              <c:f>'AAPL DCF Valuation'!$M$39:$M$40</c:f>
              <c:numCache>
                <c:formatCode>0%</c:formatCode>
                <c:ptCount val="2"/>
                <c:pt idx="0">
                  <c:v>0.29241943203739418</c:v>
                </c:pt>
                <c:pt idx="1">
                  <c:v>0.70758056796260582</c:v>
                </c:pt>
              </c:numCache>
            </c:numRef>
          </c:val>
          <c:extLst>
            <c:ext xmlns:c16="http://schemas.microsoft.com/office/drawing/2014/chart" uri="{C3380CC4-5D6E-409C-BE32-E72D297353CC}">
              <c16:uniqueId val="{00000000-6A28-844B-A858-614AB594BE13}"/>
            </c:ext>
          </c:extLst>
        </c:ser>
        <c:dLbls>
          <c:dLblPos val="inEnd"/>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Comparables</a:t>
            </a:r>
            <a:r>
              <a:rPr lang="en-US" baseline="0"/>
              <a:t> Valuation Multiples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'Relative Valuation'!$C$42</c:f>
              <c:strCache>
                <c:ptCount val="1"/>
                <c:pt idx="0">
                  <c:v>EV/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'Relative Valuation'!$B$43:$B$46</c:f>
              <c:strCache>
                <c:ptCount val="4"/>
                <c:pt idx="0">
                  <c:v>AAPL</c:v>
                </c:pt>
                <c:pt idx="1">
                  <c:v>GOOG</c:v>
                </c:pt>
                <c:pt idx="2">
                  <c:v>MSFT</c:v>
                </c:pt>
                <c:pt idx="3">
                  <c:v>META</c:v>
                </c:pt>
              </c:strCache>
            </c:strRef>
          </c:cat>
          <c:val>
            <c:numRef>
              <c:f>'Relative Valuation'!$C$43:$C$46</c:f>
              <c:numCache>
                <c:formatCode>0.00</c:formatCode>
                <c:ptCount val="4"/>
                <c:pt idx="0">
                  <c:v>8.6704201167539381</c:v>
                </c:pt>
                <c:pt idx="1">
                  <c:v>9.2232044802351325</c:v>
                </c:pt>
                <c:pt idx="2">
                  <c:v>9.7720601860187983</c:v>
                </c:pt>
                <c:pt idx="3">
                  <c:v>8.0994473692067324</c:v>
                </c:pt>
              </c:numCache>
            </c:numRef>
          </c:val>
          <c:extLst>
            <c:ext xmlns:c16="http://schemas.microsoft.com/office/drawing/2014/chart" uri="{C3380CC4-5D6E-409C-BE32-E72D297353CC}">
              <c16:uniqueId val="{00000000-74BF-3F42-B500-0A6FECC48993}"/>
            </c:ext>
          </c:extLst>
        </c:ser>
        <c:ser>
          <c:idx val="1"/>
          <c:order val="1"/>
          <c:tx>
            <c:strRef>
              <c:f>'Relative Valuation'!$D$42</c:f>
              <c:strCache>
                <c:ptCount val="1"/>
                <c:pt idx="0">
                  <c:v>P/B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'Relative Valuation'!$B$43:$B$46</c:f>
              <c:strCache>
                <c:ptCount val="4"/>
                <c:pt idx="0">
                  <c:v>AAPL</c:v>
                </c:pt>
                <c:pt idx="1">
                  <c:v>GOOG</c:v>
                </c:pt>
                <c:pt idx="2">
                  <c:v>MSFT</c:v>
                </c:pt>
                <c:pt idx="3">
                  <c:v>META</c:v>
                </c:pt>
              </c:strCache>
            </c:strRef>
          </c:cat>
          <c:val>
            <c:numRef>
              <c:f>'Relative Valuation'!$D$43:$D$46</c:f>
              <c:numCache>
                <c:formatCode>0.00</c:formatCode>
                <c:ptCount val="4"/>
                <c:pt idx="0">
                  <c:v>42.315346411157726</c:v>
                </c:pt>
                <c:pt idx="1">
                  <c:v>8.8783205904663287</c:v>
                </c:pt>
                <c:pt idx="2">
                  <c:v>7.5512480972177807</c:v>
                </c:pt>
                <c:pt idx="3">
                  <c:v>7.2715325234875241</c:v>
                </c:pt>
              </c:numCache>
            </c:numRef>
          </c:val>
          <c:extLst>
            <c:ext xmlns:c16="http://schemas.microsoft.com/office/drawing/2014/chart" uri="{C3380CC4-5D6E-409C-BE32-E72D297353CC}">
              <c16:uniqueId val="{00000001-74BF-3F42-B500-0A6FECC48993}"/>
            </c:ext>
          </c:extLst>
        </c:ser>
        <c:ser>
          <c:idx val="2"/>
          <c:order val="2"/>
          <c:tx>
            <c:strRef>
              <c:f>'Relative Valuation'!$E$42</c:f>
              <c:strCache>
                <c:ptCount val="1"/>
                <c:pt idx="0">
                  <c:v>P/E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'Relative Valuation'!$B$43:$B$46</c:f>
              <c:strCache>
                <c:ptCount val="4"/>
                <c:pt idx="0">
                  <c:v>AAPL</c:v>
                </c:pt>
                <c:pt idx="1">
                  <c:v>GOOG</c:v>
                </c:pt>
                <c:pt idx="2">
                  <c:v>MSFT</c:v>
                </c:pt>
                <c:pt idx="3">
                  <c:v>META</c:v>
                </c:pt>
              </c:strCache>
            </c:strRef>
          </c:cat>
          <c:val>
            <c:numRef>
              <c:f>'Relative Valuation'!$E$43:$E$46</c:f>
              <c:numCache>
                <c:formatCode>0.00</c:formatCode>
                <c:ptCount val="4"/>
                <c:pt idx="0">
                  <c:v>31.620733249051835</c:v>
                </c:pt>
                <c:pt idx="1">
                  <c:v>27.861367837338261</c:v>
                </c:pt>
                <c:pt idx="2">
                  <c:v>24.737335834896811</c:v>
                </c:pt>
                <c:pt idx="3">
                  <c:v>26.1264367816092</c:v>
                </c:pt>
              </c:numCache>
            </c:numRef>
          </c:val>
          <c:extLst>
            <c:ext xmlns:c16="http://schemas.microsoft.com/office/drawing/2014/chart" uri="{C3380CC4-5D6E-409C-BE32-E72D297353CC}">
              <c16:uniqueId val="{00000002-74BF-3F42-B500-0A6FECC48993}"/>
            </c:ext>
          </c:extLst>
        </c:ser>
        <c:ser>
          <c:idx val="3"/>
          <c:order val="3"/>
          <c:tx>
            <c:strRef>
              <c:f>'Relative Valuation'!$F$42</c:f>
              <c:strCache>
                <c:ptCount val="1"/>
                <c:pt idx="0">
                  <c:v>EV/ EBITDA</c:v>
                </c:pt>
              </c:strCache>
            </c:strRef>
          </c:tx>
          <c:spPr>
            <a:solidFill>
              <a:schemeClr val="bg2">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'Relative Valuation'!$B$43:$B$46</c:f>
              <c:strCache>
                <c:ptCount val="4"/>
                <c:pt idx="0">
                  <c:v>AAPL</c:v>
                </c:pt>
                <c:pt idx="1">
                  <c:v>GOOG</c:v>
                </c:pt>
                <c:pt idx="2">
                  <c:v>MSFT</c:v>
                </c:pt>
                <c:pt idx="3">
                  <c:v>META</c:v>
                </c:pt>
              </c:strCache>
            </c:strRef>
          </c:cat>
          <c:val>
            <c:numRef>
              <c:f>'Relative Valuation'!$F$43:$F$46</c:f>
              <c:numCache>
                <c:formatCode>0.00</c:formatCode>
                <c:ptCount val="4"/>
                <c:pt idx="0">
                  <c:v>24.701981661456358</c:v>
                </c:pt>
                <c:pt idx="1">
                  <c:v>24.740727817546194</c:v>
                </c:pt>
                <c:pt idx="2">
                  <c:v>16.155493312982717</c:v>
                </c:pt>
                <c:pt idx="3">
                  <c:v>15.974890472264752</c:v>
                </c:pt>
              </c:numCache>
            </c:numRef>
          </c:val>
          <c:extLst>
            <c:ext xmlns:c16="http://schemas.microsoft.com/office/drawing/2014/chart" uri="{C3380CC4-5D6E-409C-BE32-E72D297353CC}">
              <c16:uniqueId val="{00000003-74BF-3F42-B500-0A6FECC48993}"/>
            </c:ext>
          </c:extLst>
        </c:ser>
        <c:dLbls>
          <c:dLblPos val="outEnd"/>
          <c:showLegendKey val="0"/>
          <c:showVal val="1"/>
          <c:showCatName val="0"/>
          <c:showSerName val="0"/>
          <c:showPercent val="0"/>
          <c:showBubbleSize val="0"/>
        </c:dLbls>
        <c:gapWidth val="100"/>
        <c:overlap val="-24"/>
        <c:axId val="1743428079"/>
        <c:axId val="1780517679"/>
      </c:barChart>
      <c:catAx>
        <c:axId val="1743428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0517679"/>
        <c:crosses val="autoZero"/>
        <c:auto val="1"/>
        <c:lblAlgn val="ctr"/>
        <c:lblOffset val="100"/>
        <c:noMultiLvlLbl val="0"/>
      </c:catAx>
      <c:valAx>
        <c:axId val="178051767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3428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Football</a:t>
            </a:r>
            <a:r>
              <a:rPr lang="en-US" baseline="0"/>
              <a:t> Field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stacked"/>
        <c:varyColors val="0"/>
        <c:ser>
          <c:idx val="0"/>
          <c:order val="0"/>
          <c:tx>
            <c:strRef>
              <c:f>'Football Field Analysis'!$L$6</c:f>
              <c:strCache>
                <c:ptCount val="1"/>
                <c:pt idx="0">
                  <c:v>Start</c:v>
                </c:pt>
              </c:strCache>
            </c:strRef>
          </c:tx>
          <c:spPr>
            <a:no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'Football Field Analysis'!$K$7:$K$11</c:f>
              <c:strCache>
                <c:ptCount val="5"/>
                <c:pt idx="0">
                  <c:v>Comps</c:v>
                </c:pt>
                <c:pt idx="1">
                  <c:v>DCF Bear</c:v>
                </c:pt>
                <c:pt idx="2">
                  <c:v>DCF Base</c:v>
                </c:pt>
                <c:pt idx="3">
                  <c:v>DCF Bull</c:v>
                </c:pt>
                <c:pt idx="4">
                  <c:v>52W H/L</c:v>
                </c:pt>
              </c:strCache>
            </c:strRef>
          </c:cat>
          <c:val>
            <c:numRef>
              <c:f>'Football Field Analysis'!$L$7:$L$11</c:f>
              <c:numCache>
                <c:formatCode>0.00</c:formatCode>
                <c:ptCount val="5"/>
                <c:pt idx="0">
                  <c:v>206.32726670716096</c:v>
                </c:pt>
                <c:pt idx="1">
                  <c:v>87.865241844594578</c:v>
                </c:pt>
                <c:pt idx="2">
                  <c:v>98.703512049636416</c:v>
                </c:pt>
                <c:pt idx="3">
                  <c:v>112.84265311575533</c:v>
                </c:pt>
                <c:pt idx="4">
                  <c:v>169.21</c:v>
                </c:pt>
              </c:numCache>
            </c:numRef>
          </c:val>
          <c:extLst>
            <c:ext xmlns:c16="http://schemas.microsoft.com/office/drawing/2014/chart" uri="{C3380CC4-5D6E-409C-BE32-E72D297353CC}">
              <c16:uniqueId val="{00000000-1B03-8447-AFC4-842C9FF554B2}"/>
            </c:ext>
          </c:extLst>
        </c:ser>
        <c:ser>
          <c:idx val="1"/>
          <c:order val="1"/>
          <c:tx>
            <c:strRef>
              <c:f>'Football Field Analysis'!$O$6</c:f>
              <c:strCache>
                <c:ptCount val="1"/>
                <c:pt idx="0">
                  <c:v>Range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146A8EF9-2D7D-CD41-B105-540B69C634FE}"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1B03-8447-AFC4-842C9FF554B2}"/>
                </c:ext>
              </c:extLst>
            </c:dLbl>
            <c:dLbl>
              <c:idx val="1"/>
              <c:tx>
                <c:rich>
                  <a:bodyPr/>
                  <a:lstStyle/>
                  <a:p>
                    <a:fld id="{049E2321-1CBA-E448-8349-CA988AFCA52C}"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1B03-8447-AFC4-842C9FF554B2}"/>
                </c:ext>
              </c:extLst>
            </c:dLbl>
            <c:dLbl>
              <c:idx val="2"/>
              <c:tx>
                <c:rich>
                  <a:bodyPr/>
                  <a:lstStyle/>
                  <a:p>
                    <a:fld id="{CB9E639C-00F1-9E45-88D3-A264DF8F1A19}"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1B03-8447-AFC4-842C9FF554B2}"/>
                </c:ext>
              </c:extLst>
            </c:dLbl>
            <c:dLbl>
              <c:idx val="3"/>
              <c:tx>
                <c:rich>
                  <a:bodyPr/>
                  <a:lstStyle/>
                  <a:p>
                    <a:fld id="{28A5125E-E910-C349-80E5-5552C4A8D8C4}"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B03-8447-AFC4-842C9FF554B2}"/>
                </c:ext>
              </c:extLst>
            </c:dLbl>
            <c:dLbl>
              <c:idx val="4"/>
              <c:tx>
                <c:rich>
                  <a:bodyPr/>
                  <a:lstStyle/>
                  <a:p>
                    <a:fld id="{87FBF060-EB12-B949-9E4C-37447EC2A57A}"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1B03-8447-AFC4-842C9FF554B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a:solidFill>
                        <a:schemeClr val="lt1">
                          <a:lumMod val="95000"/>
                          <a:alpha val="54000"/>
                        </a:schemeClr>
                      </a:solidFill>
                    </a:ln>
                    <a:effectLst/>
                  </c:spPr>
                </c15:leaderLines>
              </c:ext>
            </c:extLst>
          </c:dLbls>
          <c:cat>
            <c:strRef>
              <c:f>'Football Field Analysis'!$K$7:$K$11</c:f>
              <c:strCache>
                <c:ptCount val="5"/>
                <c:pt idx="0">
                  <c:v>Comps</c:v>
                </c:pt>
                <c:pt idx="1">
                  <c:v>DCF Bear</c:v>
                </c:pt>
                <c:pt idx="2">
                  <c:v>DCF Base</c:v>
                </c:pt>
                <c:pt idx="3">
                  <c:v>DCF Bull</c:v>
                </c:pt>
                <c:pt idx="4">
                  <c:v>52W H/L</c:v>
                </c:pt>
              </c:strCache>
            </c:strRef>
          </c:cat>
          <c:val>
            <c:numRef>
              <c:f>'Football Field Analysis'!$O$7:$O$11</c:f>
              <c:numCache>
                <c:formatCode>0.00</c:formatCode>
                <c:ptCount val="5"/>
                <c:pt idx="0">
                  <c:v>6.759920444507145</c:v>
                </c:pt>
                <c:pt idx="1">
                  <c:v>21.937737930058901</c:v>
                </c:pt>
                <c:pt idx="2">
                  <c:v>21.296487950363584</c:v>
                </c:pt>
                <c:pt idx="3">
                  <c:v>15.349903097889836</c:v>
                </c:pt>
                <c:pt idx="4">
                  <c:v>119.41</c:v>
                </c:pt>
              </c:numCache>
            </c:numRef>
          </c:val>
          <c:extLst>
            <c:ext xmlns:c15="http://schemas.microsoft.com/office/drawing/2012/chart" uri="{02D57815-91ED-43cb-92C2-25804820EDAC}">
              <c15:datalabelsRange>
                <c15:f>'Football Field Analysis'!$N$7:$N$11</c15:f>
                <c15:dlblRangeCache>
                  <c:ptCount val="5"/>
                  <c:pt idx="0">
                    <c:v>213.09</c:v>
                  </c:pt>
                  <c:pt idx="1">
                    <c:v>109.80</c:v>
                  </c:pt>
                  <c:pt idx="2">
                    <c:v>120</c:v>
                  </c:pt>
                  <c:pt idx="3">
                    <c:v>128.19</c:v>
                  </c:pt>
                  <c:pt idx="4">
                    <c:v>288.62</c:v>
                  </c:pt>
                </c15:dlblRangeCache>
              </c15:datalabelsRange>
            </c:ext>
            <c:ext xmlns:c16="http://schemas.microsoft.com/office/drawing/2014/chart" uri="{C3380CC4-5D6E-409C-BE32-E72D297353CC}">
              <c16:uniqueId val="{00000001-1B03-8447-AFC4-842C9FF554B2}"/>
            </c:ext>
          </c:extLst>
        </c:ser>
        <c:dLbls>
          <c:dLblPos val="ctr"/>
          <c:showLegendKey val="0"/>
          <c:showVal val="1"/>
          <c:showCatName val="0"/>
          <c:showSerName val="0"/>
          <c:showPercent val="0"/>
          <c:showBubbleSize val="0"/>
        </c:dLbls>
        <c:gapWidth val="150"/>
        <c:overlap val="100"/>
        <c:axId val="154721135"/>
        <c:axId val="154926271"/>
      </c:barChart>
      <c:lineChart>
        <c:grouping val="stacked"/>
        <c:varyColors val="0"/>
        <c:ser>
          <c:idx val="2"/>
          <c:order val="2"/>
          <c:tx>
            <c:v>Current Price</c:v>
          </c:tx>
          <c:spPr>
            <a:ln w="25400" cap="rnd">
              <a:solidFill>
                <a:schemeClr val="accent3"/>
              </a:solidFill>
              <a:prstDash val="dash"/>
              <a:round/>
            </a:ln>
            <a:effectLst>
              <a:outerShdw blurRad="57150" dist="19050" dir="5400000" algn="ctr" rotWithShape="0">
                <a:srgbClr val="000000">
                  <a:alpha val="63000"/>
                </a:srgbClr>
              </a:outerShdw>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1B03-8447-AFC4-842C9FF554B2}"/>
                </c:ext>
              </c:extLst>
            </c:dLbl>
            <c:dLbl>
              <c:idx val="1"/>
              <c:delete val="1"/>
              <c:extLst>
                <c:ext xmlns:c15="http://schemas.microsoft.com/office/drawing/2012/chart" uri="{CE6537A1-D6FC-4f65-9D91-7224C49458BB}"/>
                <c:ext xmlns:c16="http://schemas.microsoft.com/office/drawing/2014/chart" uri="{C3380CC4-5D6E-409C-BE32-E72D297353CC}">
                  <c16:uniqueId val="{00000010-1B03-8447-AFC4-842C9FF554B2}"/>
                </c:ext>
              </c:extLst>
            </c:dLbl>
            <c:dLbl>
              <c:idx val="2"/>
              <c:delete val="1"/>
              <c:extLst>
                <c:ext xmlns:c15="http://schemas.microsoft.com/office/drawing/2012/chart" uri="{CE6537A1-D6FC-4f65-9D91-7224C49458BB}"/>
                <c:ext xmlns:c16="http://schemas.microsoft.com/office/drawing/2014/chart" uri="{C3380CC4-5D6E-409C-BE32-E72D297353CC}">
                  <c16:uniqueId val="{0000000F-1B03-8447-AFC4-842C9FF554B2}"/>
                </c:ext>
              </c:extLst>
            </c:dLbl>
            <c:dLbl>
              <c:idx val="3"/>
              <c:delete val="1"/>
              <c:extLst>
                <c:ext xmlns:c15="http://schemas.microsoft.com/office/drawing/2012/chart" uri="{CE6537A1-D6FC-4f65-9D91-7224C49458BB}"/>
                <c:ext xmlns:c16="http://schemas.microsoft.com/office/drawing/2014/chart" uri="{C3380CC4-5D6E-409C-BE32-E72D297353CC}">
                  <c16:uniqueId val="{0000000E-1B03-8447-AFC4-842C9FF554B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'Football Field Analysis'!$P$7:$P$11</c:f>
              <c:numCache>
                <c:formatCode>0.00</c:formatCode>
                <c:ptCount val="5"/>
                <c:pt idx="0">
                  <c:v>250.12</c:v>
                </c:pt>
                <c:pt idx="1">
                  <c:v>250.12</c:v>
                </c:pt>
                <c:pt idx="2">
                  <c:v>250.12</c:v>
                </c:pt>
                <c:pt idx="3">
                  <c:v>250.12</c:v>
                </c:pt>
                <c:pt idx="4">
                  <c:v>250.12</c:v>
                </c:pt>
              </c:numCache>
            </c:numRef>
          </c:val>
          <c:smooth val="0"/>
          <c:extLst>
            <c:ext xmlns:c16="http://schemas.microsoft.com/office/drawing/2014/chart" uri="{C3380CC4-5D6E-409C-BE32-E72D297353CC}">
              <c16:uniqueId val="{0000000D-1B03-8447-AFC4-842C9FF554B2}"/>
            </c:ext>
          </c:extLst>
        </c:ser>
        <c:dLbls>
          <c:showLegendKey val="0"/>
          <c:showVal val="0"/>
          <c:showCatName val="0"/>
          <c:showSerName val="0"/>
          <c:showPercent val="0"/>
          <c:showBubbleSize val="0"/>
        </c:dLbls>
        <c:marker val="1"/>
        <c:smooth val="0"/>
        <c:axId val="1198016687"/>
        <c:axId val="1197730367"/>
      </c:lineChart>
      <c:catAx>
        <c:axId val="154721135"/>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926271"/>
        <c:crosses val="autoZero"/>
        <c:auto val="1"/>
        <c:lblAlgn val="ctr"/>
        <c:lblOffset val="100"/>
        <c:noMultiLvlLbl val="0"/>
      </c:catAx>
      <c:valAx>
        <c:axId val="154926271"/>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721135"/>
        <c:crosses val="max"/>
        <c:crossBetween val="between"/>
      </c:valAx>
      <c:valAx>
        <c:axId val="119773036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8016687"/>
        <c:crosses val="max"/>
        <c:crossBetween val="between"/>
      </c:valAx>
      <c:catAx>
        <c:axId val="1198016687"/>
        <c:scaling>
          <c:orientation val="minMax"/>
        </c:scaling>
        <c:delete val="1"/>
        <c:axPos val="b"/>
        <c:majorTickMark val="out"/>
        <c:minorTickMark val="none"/>
        <c:tickLblPos val="nextTo"/>
        <c:crossAx val="11977303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16540</xdr:colOff>
      <xdr:row>10</xdr:row>
      <xdr:rowOff>27985</xdr:rowOff>
    </xdr:from>
    <xdr:to>
      <xdr:col>16</xdr:col>
      <xdr:colOff>3840</xdr:colOff>
      <xdr:row>18</xdr:row>
      <xdr:rowOff>239588</xdr:rowOff>
    </xdr:to>
    <xdr:graphicFrame macro="">
      <xdr:nvGraphicFramePr>
        <xdr:cNvPr id="2" name="Chart 1">
          <a:extLst>
            <a:ext uri="{FF2B5EF4-FFF2-40B4-BE49-F238E27FC236}">
              <a16:creationId xmlns:a16="http://schemas.microsoft.com/office/drawing/2014/main" id="{84151650-2887-8E49-B1C2-2EDFE352A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24</xdr:row>
      <xdr:rowOff>0</xdr:rowOff>
    </xdr:from>
    <xdr:to>
      <xdr:col>6</xdr:col>
      <xdr:colOff>812800</xdr:colOff>
      <xdr:row>36</xdr:row>
      <xdr:rowOff>181429</xdr:rowOff>
    </xdr:to>
    <xdr:graphicFrame macro="">
      <xdr:nvGraphicFramePr>
        <xdr:cNvPr id="3" name="Chart 2">
          <a:extLst>
            <a:ext uri="{FF2B5EF4-FFF2-40B4-BE49-F238E27FC236}">
              <a16:creationId xmlns:a16="http://schemas.microsoft.com/office/drawing/2014/main" id="{85028277-2E48-514C-906E-503EE5B25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24</xdr:row>
      <xdr:rowOff>0</xdr:rowOff>
    </xdr:from>
    <xdr:to>
      <xdr:col>16</xdr:col>
      <xdr:colOff>13804</xdr:colOff>
      <xdr:row>36</xdr:row>
      <xdr:rowOff>147411</xdr:rowOff>
    </xdr:to>
    <xdr:graphicFrame macro="">
      <xdr:nvGraphicFramePr>
        <xdr:cNvPr id="4" name="Chart 3">
          <a:extLst>
            <a:ext uri="{FF2B5EF4-FFF2-40B4-BE49-F238E27FC236}">
              <a16:creationId xmlns:a16="http://schemas.microsoft.com/office/drawing/2014/main" id="{FF161165-65D1-C14A-AB73-0D1DAD98B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53</xdr:row>
      <xdr:rowOff>0</xdr:rowOff>
    </xdr:from>
    <xdr:to>
      <xdr:col>9</xdr:col>
      <xdr:colOff>0</xdr:colOff>
      <xdr:row>67</xdr:row>
      <xdr:rowOff>30976</xdr:rowOff>
    </xdr:to>
    <xdr:graphicFrame macro="">
      <xdr:nvGraphicFramePr>
        <xdr:cNvPr id="5" name="Chart 4">
          <a:extLst>
            <a:ext uri="{FF2B5EF4-FFF2-40B4-BE49-F238E27FC236}">
              <a16:creationId xmlns:a16="http://schemas.microsoft.com/office/drawing/2014/main" id="{A776E378-0BEE-2E46-AB8F-00A3D0720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374011</xdr:colOff>
      <xdr:row>35</xdr:row>
      <xdr:rowOff>41292</xdr:rowOff>
    </xdr:from>
    <xdr:to>
      <xdr:col>8</xdr:col>
      <xdr:colOff>530505</xdr:colOff>
      <xdr:row>43</xdr:row>
      <xdr:rowOff>68590</xdr:rowOff>
    </xdr:to>
    <xdr:graphicFrame macro="">
      <xdr:nvGraphicFramePr>
        <xdr:cNvPr id="4" name="Chart 3">
          <a:extLst>
            <a:ext uri="{FF2B5EF4-FFF2-40B4-BE49-F238E27FC236}">
              <a16:creationId xmlns:a16="http://schemas.microsoft.com/office/drawing/2014/main" id="{18EC8D1F-8F56-A604-E1D8-9F4B4852A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304800</xdr:colOff>
      <xdr:row>34</xdr:row>
      <xdr:rowOff>203198</xdr:rowOff>
    </xdr:from>
    <xdr:to>
      <xdr:col>19</xdr:col>
      <xdr:colOff>414722</xdr:colOff>
      <xdr:row>43</xdr:row>
      <xdr:rowOff>29129</xdr:rowOff>
    </xdr:to>
    <xdr:graphicFrame macro="">
      <xdr:nvGraphicFramePr>
        <xdr:cNvPr id="6" name="Chart 5">
          <a:extLst>
            <a:ext uri="{FF2B5EF4-FFF2-40B4-BE49-F238E27FC236}">
              <a16:creationId xmlns:a16="http://schemas.microsoft.com/office/drawing/2014/main" id="{ED9B0F01-FA43-6ECF-E251-66DBE07A5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768350</xdr:colOff>
      <xdr:row>47</xdr:row>
      <xdr:rowOff>38100</xdr:rowOff>
    </xdr:from>
    <xdr:to>
      <xdr:col>6</xdr:col>
      <xdr:colOff>0</xdr:colOff>
      <xdr:row>60</xdr:row>
      <xdr:rowOff>139700</xdr:rowOff>
    </xdr:to>
    <xdr:graphicFrame macro="">
      <xdr:nvGraphicFramePr>
        <xdr:cNvPr id="2" name="Chart 1">
          <a:extLst>
            <a:ext uri="{FF2B5EF4-FFF2-40B4-BE49-F238E27FC236}">
              <a16:creationId xmlns:a16="http://schemas.microsoft.com/office/drawing/2014/main" id="{E4D04708-7749-6113-1A5D-1E462065F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824552</xdr:colOff>
      <xdr:row>11</xdr:row>
      <xdr:rowOff>196850</xdr:rowOff>
    </xdr:from>
    <xdr:to>
      <xdr:col>17</xdr:col>
      <xdr:colOff>18955</xdr:colOff>
      <xdr:row>26</xdr:row>
      <xdr:rowOff>94776</xdr:rowOff>
    </xdr:to>
    <xdr:graphicFrame macro="">
      <xdr:nvGraphicFramePr>
        <xdr:cNvPr id="7" name="Chart 6">
          <a:extLst>
            <a:ext uri="{FF2B5EF4-FFF2-40B4-BE49-F238E27FC236}">
              <a16:creationId xmlns:a16="http://schemas.microsoft.com/office/drawing/2014/main" id="{2ABA4A31-27D5-606F-C033-DAE10D6A7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582BB-FD86-204A-A8CD-2D1F535FDCA0}">
  <dimension ref="B4:AG67"/>
  <sheetViews>
    <sheetView showGridLines="0" tabSelected="1" zoomScale="41" workbookViewId="0">
      <selection activeCell="X52" sqref="X52"/>
    </sheetView>
  </sheetViews>
  <sheetFormatPr baseColWidth="10" defaultRowHeight="16" x14ac:dyDescent="0.2"/>
  <cols>
    <col min="2" max="2" width="26" bestFit="1" customWidth="1"/>
    <col min="3" max="5" width="11.6640625" bestFit="1" customWidth="1"/>
    <col min="11" max="11" width="13.33203125" bestFit="1" customWidth="1"/>
    <col min="12" max="12" width="14.83203125" bestFit="1" customWidth="1"/>
    <col min="13" max="13" width="14.1640625" bestFit="1" customWidth="1"/>
    <col min="14" max="14" width="14.5" bestFit="1" customWidth="1"/>
    <col min="15" max="15" width="10" bestFit="1" customWidth="1"/>
    <col min="16" max="16" width="14.83203125" bestFit="1" customWidth="1"/>
  </cols>
  <sheetData>
    <row r="4" spans="2:33" x14ac:dyDescent="0.2">
      <c r="B4" s="92" t="s">
        <v>202</v>
      </c>
      <c r="C4" s="93"/>
      <c r="D4" s="93"/>
      <c r="E4" s="93"/>
      <c r="F4" s="93"/>
      <c r="G4" s="93"/>
      <c r="H4" s="93"/>
      <c r="I4" s="93"/>
      <c r="J4" s="93"/>
      <c r="K4" s="93"/>
      <c r="L4" s="93"/>
      <c r="M4" s="93"/>
      <c r="N4" s="93"/>
      <c r="O4" s="93"/>
      <c r="P4" s="93"/>
    </row>
    <row r="5" spans="2:33" ht="24" x14ac:dyDescent="0.3">
      <c r="B5" s="93"/>
      <c r="C5" s="93"/>
      <c r="D5" s="93"/>
      <c r="E5" s="93"/>
      <c r="F5" s="93"/>
      <c r="G5" s="93"/>
      <c r="H5" s="93"/>
      <c r="I5" s="93"/>
      <c r="J5" s="93"/>
      <c r="K5" s="93"/>
      <c r="L5" s="93"/>
      <c r="M5" s="93"/>
      <c r="N5" s="93"/>
      <c r="O5" s="93"/>
      <c r="P5" s="93"/>
      <c r="T5" s="84" t="s">
        <v>221</v>
      </c>
      <c r="U5" s="84"/>
      <c r="V5" s="84"/>
      <c r="W5" s="84"/>
      <c r="X5" s="84"/>
      <c r="Y5" s="84"/>
      <c r="Z5" s="84"/>
      <c r="AA5" s="84"/>
      <c r="AB5" s="84"/>
      <c r="AC5" s="84"/>
      <c r="AD5" s="84"/>
      <c r="AE5" s="84"/>
      <c r="AF5" s="84"/>
      <c r="AG5" s="84"/>
    </row>
    <row r="6" spans="2:33" ht="22" customHeight="1" x14ac:dyDescent="0.3">
      <c r="B6" s="94" t="s">
        <v>203</v>
      </c>
      <c r="C6" s="94"/>
      <c r="D6" s="94"/>
      <c r="E6" s="94"/>
      <c r="F6" s="94"/>
      <c r="G6" s="94"/>
      <c r="H6" s="94"/>
      <c r="I6" s="94"/>
      <c r="J6" s="94"/>
      <c r="K6" s="94"/>
      <c r="L6" s="94"/>
      <c r="M6" s="94"/>
      <c r="N6" s="94"/>
      <c r="O6" s="94"/>
      <c r="P6" s="94"/>
      <c r="T6" s="85" t="s">
        <v>220</v>
      </c>
      <c r="U6" s="85"/>
      <c r="V6" s="85"/>
      <c r="W6" s="85"/>
      <c r="X6" s="85"/>
      <c r="Y6" s="85"/>
      <c r="Z6" s="85"/>
      <c r="AA6" s="85"/>
      <c r="AB6" s="85"/>
      <c r="AC6" s="85"/>
      <c r="AD6" s="85"/>
      <c r="AE6" s="85"/>
      <c r="AF6" s="85"/>
      <c r="AG6" s="85"/>
    </row>
    <row r="7" spans="2:33" ht="16" customHeight="1" x14ac:dyDescent="0.2">
      <c r="B7" s="95" t="s">
        <v>204</v>
      </c>
      <c r="C7" s="96"/>
      <c r="D7" s="96"/>
      <c r="E7" s="96"/>
      <c r="F7" s="96"/>
      <c r="G7" s="96"/>
      <c r="H7" s="96"/>
      <c r="I7" s="96"/>
      <c r="J7" s="96"/>
      <c r="K7" s="96"/>
      <c r="L7" s="96"/>
      <c r="M7" s="96"/>
      <c r="N7" s="96"/>
      <c r="O7" s="96"/>
      <c r="P7" s="96"/>
      <c r="T7" s="85"/>
      <c r="U7" s="85"/>
      <c r="V7" s="85"/>
      <c r="W7" s="85"/>
      <c r="X7" s="85"/>
      <c r="Y7" s="85"/>
      <c r="Z7" s="85"/>
      <c r="AA7" s="85"/>
      <c r="AB7" s="85"/>
      <c r="AC7" s="85"/>
      <c r="AD7" s="85"/>
      <c r="AE7" s="85"/>
      <c r="AF7" s="85"/>
      <c r="AG7" s="85"/>
    </row>
    <row r="8" spans="2:33" ht="16" customHeight="1" x14ac:dyDescent="0.2">
      <c r="B8" s="96"/>
      <c r="C8" s="96"/>
      <c r="D8" s="96"/>
      <c r="E8" s="96"/>
      <c r="F8" s="96"/>
      <c r="G8" s="96"/>
      <c r="H8" s="96"/>
      <c r="I8" s="96"/>
      <c r="J8" s="96"/>
      <c r="K8" s="96"/>
      <c r="L8" s="96"/>
      <c r="M8" s="96"/>
      <c r="N8" s="96"/>
      <c r="O8" s="96"/>
      <c r="P8" s="96"/>
      <c r="T8" s="85"/>
      <c r="U8" s="85"/>
      <c r="V8" s="85"/>
      <c r="W8" s="85"/>
      <c r="X8" s="85"/>
      <c r="Y8" s="85"/>
      <c r="Z8" s="85"/>
      <c r="AA8" s="85"/>
      <c r="AB8" s="85"/>
      <c r="AC8" s="85"/>
      <c r="AD8" s="85"/>
      <c r="AE8" s="85"/>
      <c r="AF8" s="85"/>
      <c r="AG8" s="85"/>
    </row>
    <row r="9" spans="2:33" ht="16" customHeight="1" x14ac:dyDescent="0.2">
      <c r="B9" s="82" t="s">
        <v>205</v>
      </c>
      <c r="C9" s="82"/>
      <c r="D9" s="82"/>
      <c r="E9" s="82"/>
      <c r="F9" s="82"/>
      <c r="G9" s="82"/>
      <c r="K9" s="82" t="s">
        <v>211</v>
      </c>
      <c r="L9" s="82"/>
      <c r="M9" s="82"/>
      <c r="N9" s="82"/>
      <c r="O9" s="82"/>
      <c r="P9" s="82"/>
      <c r="T9" s="85"/>
      <c r="U9" s="85"/>
      <c r="V9" s="85"/>
      <c r="W9" s="85"/>
      <c r="X9" s="85"/>
      <c r="Y9" s="85"/>
      <c r="Z9" s="85"/>
      <c r="AA9" s="85"/>
      <c r="AB9" s="85"/>
      <c r="AC9" s="85"/>
      <c r="AD9" s="85"/>
      <c r="AE9" s="85"/>
      <c r="AF9" s="85"/>
      <c r="AG9" s="85"/>
    </row>
    <row r="10" spans="2:33" ht="16" customHeight="1" x14ac:dyDescent="0.2">
      <c r="B10" s="81"/>
      <c r="C10" s="81"/>
      <c r="D10" s="81"/>
      <c r="E10" s="81"/>
      <c r="F10" s="81"/>
      <c r="G10" s="81"/>
      <c r="K10" s="81"/>
      <c r="L10" s="81"/>
      <c r="M10" s="81"/>
      <c r="N10" s="81"/>
      <c r="O10" s="81"/>
      <c r="P10" s="81"/>
      <c r="T10" s="85"/>
      <c r="U10" s="85"/>
      <c r="V10" s="85"/>
      <c r="W10" s="85"/>
      <c r="X10" s="85"/>
      <c r="Y10" s="85"/>
      <c r="Z10" s="85"/>
      <c r="AA10" s="85"/>
      <c r="AB10" s="85"/>
      <c r="AC10" s="85"/>
      <c r="AD10" s="85"/>
      <c r="AE10" s="85"/>
      <c r="AF10" s="85"/>
      <c r="AG10" s="85"/>
    </row>
    <row r="11" spans="2:33" ht="16" customHeight="1" x14ac:dyDescent="0.2">
      <c r="T11" s="85"/>
      <c r="U11" s="85"/>
      <c r="V11" s="85"/>
      <c r="W11" s="85"/>
      <c r="X11" s="85"/>
      <c r="Y11" s="85"/>
      <c r="Z11" s="85"/>
      <c r="AA11" s="85"/>
      <c r="AB11" s="85"/>
      <c r="AC11" s="85"/>
      <c r="AD11" s="85"/>
      <c r="AE11" s="85"/>
      <c r="AF11" s="85"/>
      <c r="AG11" s="85"/>
    </row>
    <row r="12" spans="2:33" ht="22" customHeight="1" x14ac:dyDescent="0.3">
      <c r="B12" s="94" t="s">
        <v>206</v>
      </c>
      <c r="C12" s="94"/>
      <c r="D12" s="94"/>
      <c r="E12" s="94"/>
      <c r="F12" s="94" t="s">
        <v>207</v>
      </c>
      <c r="G12" s="94"/>
      <c r="T12" s="85"/>
      <c r="U12" s="85"/>
      <c r="V12" s="85"/>
      <c r="W12" s="85"/>
      <c r="X12" s="85"/>
      <c r="Y12" s="85"/>
      <c r="Z12" s="85"/>
      <c r="AA12" s="85"/>
      <c r="AB12" s="85"/>
      <c r="AC12" s="85"/>
      <c r="AD12" s="85"/>
      <c r="AE12" s="85"/>
      <c r="AF12" s="85"/>
      <c r="AG12" s="85"/>
    </row>
    <row r="13" spans="2:33" ht="19" customHeight="1" x14ac:dyDescent="0.25">
      <c r="B13" s="91" t="s">
        <v>13</v>
      </c>
      <c r="C13" s="91"/>
      <c r="D13" s="91"/>
      <c r="E13" s="91"/>
      <c r="F13" s="87" t="s">
        <v>76</v>
      </c>
      <c r="G13" s="87"/>
      <c r="T13" s="85"/>
      <c r="U13" s="85"/>
      <c r="V13" s="85"/>
      <c r="W13" s="85"/>
      <c r="X13" s="85"/>
      <c r="Y13" s="85"/>
      <c r="Z13" s="85"/>
      <c r="AA13" s="85"/>
      <c r="AB13" s="85"/>
      <c r="AC13" s="85"/>
      <c r="AD13" s="85"/>
      <c r="AE13" s="85"/>
      <c r="AF13" s="85"/>
      <c r="AG13" s="85"/>
    </row>
    <row r="14" spans="2:33" ht="19" customHeight="1" x14ac:dyDescent="0.25">
      <c r="B14" s="91" t="s">
        <v>69</v>
      </c>
      <c r="C14" s="91"/>
      <c r="D14" s="91"/>
      <c r="E14" s="91"/>
      <c r="F14" s="87" t="s">
        <v>78</v>
      </c>
      <c r="G14" s="87"/>
      <c r="T14" s="85"/>
      <c r="U14" s="85"/>
      <c r="V14" s="85"/>
      <c r="W14" s="85"/>
      <c r="X14" s="85"/>
      <c r="Y14" s="85"/>
      <c r="Z14" s="85"/>
      <c r="AA14" s="85"/>
      <c r="AB14" s="85"/>
      <c r="AC14" s="85"/>
      <c r="AD14" s="85"/>
      <c r="AE14" s="85"/>
      <c r="AF14" s="85"/>
      <c r="AG14" s="85"/>
    </row>
    <row r="15" spans="2:33" ht="19" customHeight="1" x14ac:dyDescent="0.25">
      <c r="B15" s="91" t="s">
        <v>208</v>
      </c>
      <c r="C15" s="91"/>
      <c r="D15" s="91"/>
      <c r="E15" s="91"/>
      <c r="F15" s="88">
        <v>101.5</v>
      </c>
      <c r="G15" s="87"/>
      <c r="T15" s="85"/>
      <c r="U15" s="85"/>
      <c r="V15" s="85"/>
      <c r="W15" s="85"/>
      <c r="X15" s="85"/>
      <c r="Y15" s="85"/>
      <c r="Z15" s="85"/>
      <c r="AA15" s="85"/>
      <c r="AB15" s="85"/>
      <c r="AC15" s="85"/>
      <c r="AD15" s="85"/>
      <c r="AE15" s="85"/>
      <c r="AF15" s="85"/>
      <c r="AG15" s="85"/>
    </row>
    <row r="16" spans="2:33" ht="19" customHeight="1" x14ac:dyDescent="0.25">
      <c r="B16" s="91" t="s">
        <v>209</v>
      </c>
      <c r="C16" s="91"/>
      <c r="D16" s="91"/>
      <c r="E16" s="91"/>
      <c r="F16" s="88">
        <v>209.71</v>
      </c>
      <c r="G16" s="87"/>
      <c r="T16" s="85"/>
      <c r="U16" s="85"/>
      <c r="V16" s="85"/>
      <c r="W16" s="85"/>
      <c r="X16" s="85"/>
      <c r="Y16" s="85"/>
      <c r="Z16" s="85"/>
      <c r="AA16" s="85"/>
      <c r="AB16" s="85"/>
      <c r="AC16" s="85"/>
      <c r="AD16" s="85"/>
      <c r="AE16" s="85"/>
      <c r="AF16" s="85"/>
      <c r="AG16" s="85"/>
    </row>
    <row r="17" spans="2:33" ht="19" customHeight="1" x14ac:dyDescent="0.25">
      <c r="B17" s="91" t="s">
        <v>210</v>
      </c>
      <c r="C17" s="91"/>
      <c r="D17" s="91"/>
      <c r="E17" s="91"/>
      <c r="F17" s="88">
        <v>250.12</v>
      </c>
      <c r="G17" s="87"/>
      <c r="T17" s="85"/>
      <c r="U17" s="85"/>
      <c r="V17" s="85"/>
      <c r="W17" s="85"/>
      <c r="X17" s="85"/>
      <c r="Y17" s="85"/>
      <c r="Z17" s="85"/>
      <c r="AA17" s="85"/>
      <c r="AB17" s="85"/>
      <c r="AC17" s="85"/>
      <c r="AD17" s="85"/>
      <c r="AE17" s="85"/>
      <c r="AF17" s="85"/>
      <c r="AG17" s="85"/>
    </row>
    <row r="18" spans="2:33" ht="19" customHeight="1" x14ac:dyDescent="0.25">
      <c r="B18" s="91" t="s">
        <v>150</v>
      </c>
      <c r="C18" s="91"/>
      <c r="D18" s="91"/>
      <c r="E18" s="91"/>
      <c r="F18" s="89">
        <v>-0.16</v>
      </c>
      <c r="G18" s="87"/>
      <c r="T18" s="85"/>
      <c r="U18" s="85"/>
      <c r="V18" s="85"/>
      <c r="W18" s="85"/>
      <c r="X18" s="85"/>
      <c r="Y18" s="85"/>
      <c r="Z18" s="85"/>
      <c r="AA18" s="85"/>
      <c r="AB18" s="85"/>
      <c r="AC18" s="85"/>
      <c r="AD18" s="85"/>
      <c r="AE18" s="85"/>
      <c r="AF18" s="85"/>
      <c r="AG18" s="85"/>
    </row>
    <row r="19" spans="2:33" ht="19" customHeight="1" x14ac:dyDescent="0.25">
      <c r="B19" s="86" t="s">
        <v>99</v>
      </c>
      <c r="C19" s="86"/>
      <c r="D19" s="86"/>
      <c r="E19" s="86"/>
      <c r="F19" s="90" t="s">
        <v>140</v>
      </c>
      <c r="G19" s="90"/>
      <c r="T19" s="85"/>
      <c r="U19" s="85"/>
      <c r="V19" s="85"/>
      <c r="W19" s="85"/>
      <c r="X19" s="85"/>
      <c r="Y19" s="85"/>
      <c r="Z19" s="85"/>
      <c r="AA19" s="85"/>
      <c r="AB19" s="85"/>
      <c r="AC19" s="85"/>
      <c r="AD19" s="85"/>
      <c r="AE19" s="85"/>
      <c r="AF19" s="85"/>
      <c r="AG19" s="85"/>
    </row>
    <row r="20" spans="2:33" ht="16" customHeight="1" x14ac:dyDescent="0.2">
      <c r="T20" s="85"/>
      <c r="U20" s="85"/>
      <c r="V20" s="85"/>
      <c r="W20" s="85"/>
      <c r="X20" s="85"/>
      <c r="Y20" s="85"/>
      <c r="Z20" s="85"/>
      <c r="AA20" s="85"/>
      <c r="AB20" s="85"/>
      <c r="AC20" s="85"/>
      <c r="AD20" s="85"/>
      <c r="AE20" s="85"/>
      <c r="AF20" s="85"/>
      <c r="AG20" s="85"/>
    </row>
    <row r="21" spans="2:33" ht="16" customHeight="1" x14ac:dyDescent="0.2">
      <c r="T21" s="85"/>
      <c r="U21" s="85"/>
      <c r="V21" s="85"/>
      <c r="W21" s="85"/>
      <c r="X21" s="85"/>
      <c r="Y21" s="85"/>
      <c r="Z21" s="85"/>
      <c r="AA21" s="85"/>
      <c r="AB21" s="85"/>
      <c r="AC21" s="85"/>
      <c r="AD21" s="85"/>
      <c r="AE21" s="85"/>
      <c r="AF21" s="85"/>
      <c r="AG21" s="85"/>
    </row>
    <row r="22" spans="2:33" ht="16" customHeight="1" x14ac:dyDescent="0.2">
      <c r="B22" s="82" t="s">
        <v>212</v>
      </c>
      <c r="C22" s="82"/>
      <c r="D22" s="82"/>
      <c r="E22" s="82"/>
      <c r="F22" s="82"/>
      <c r="G22" s="82"/>
      <c r="K22" s="82" t="s">
        <v>213</v>
      </c>
      <c r="L22" s="82"/>
      <c r="M22" s="82"/>
      <c r="N22" s="82"/>
      <c r="O22" s="82"/>
      <c r="P22" s="82"/>
      <c r="T22" s="85"/>
      <c r="U22" s="85"/>
      <c r="V22" s="85"/>
      <c r="W22" s="85"/>
      <c r="X22" s="85"/>
      <c r="Y22" s="85"/>
      <c r="Z22" s="85"/>
      <c r="AA22" s="85"/>
      <c r="AB22" s="85"/>
      <c r="AC22" s="85"/>
      <c r="AD22" s="85"/>
      <c r="AE22" s="85"/>
      <c r="AF22" s="85"/>
      <c r="AG22" s="85"/>
    </row>
    <row r="23" spans="2:33" ht="16" customHeight="1" x14ac:dyDescent="0.2">
      <c r="B23" s="81"/>
      <c r="C23" s="81"/>
      <c r="D23" s="81"/>
      <c r="E23" s="81"/>
      <c r="F23" s="81"/>
      <c r="G23" s="81"/>
      <c r="K23" s="81"/>
      <c r="L23" s="81"/>
      <c r="M23" s="81"/>
      <c r="N23" s="81"/>
      <c r="O23" s="81"/>
      <c r="P23" s="81"/>
      <c r="T23" s="85"/>
      <c r="U23" s="85"/>
      <c r="V23" s="85"/>
      <c r="W23" s="85"/>
      <c r="X23" s="85"/>
      <c r="Y23" s="85"/>
      <c r="Z23" s="85"/>
      <c r="AA23" s="85"/>
      <c r="AB23" s="85"/>
      <c r="AC23" s="85"/>
      <c r="AD23" s="85"/>
      <c r="AE23" s="85"/>
      <c r="AF23" s="85"/>
      <c r="AG23" s="85"/>
    </row>
    <row r="24" spans="2:33" ht="16" customHeight="1" x14ac:dyDescent="0.2">
      <c r="T24" s="85"/>
      <c r="U24" s="85"/>
      <c r="V24" s="85"/>
      <c r="W24" s="85"/>
      <c r="X24" s="85"/>
      <c r="Y24" s="85"/>
      <c r="Z24" s="85"/>
      <c r="AA24" s="85"/>
      <c r="AB24" s="85"/>
      <c r="AC24" s="85"/>
      <c r="AD24" s="85"/>
      <c r="AE24" s="85"/>
      <c r="AF24" s="85"/>
      <c r="AG24" s="85"/>
    </row>
    <row r="25" spans="2:33" ht="16" customHeight="1" x14ac:dyDescent="0.2">
      <c r="T25" s="85"/>
      <c r="U25" s="85"/>
      <c r="V25" s="85"/>
      <c r="W25" s="85"/>
      <c r="X25" s="85"/>
      <c r="Y25" s="85"/>
      <c r="Z25" s="85"/>
      <c r="AA25" s="85"/>
      <c r="AB25" s="85"/>
      <c r="AC25" s="85"/>
      <c r="AD25" s="85"/>
      <c r="AE25" s="85"/>
      <c r="AF25" s="85"/>
      <c r="AG25" s="85"/>
    </row>
    <row r="26" spans="2:33" ht="16" customHeight="1" x14ac:dyDescent="0.2">
      <c r="T26" s="85"/>
      <c r="U26" s="85"/>
      <c r="V26" s="85"/>
      <c r="W26" s="85"/>
      <c r="X26" s="85"/>
      <c r="Y26" s="85"/>
      <c r="Z26" s="85"/>
      <c r="AA26" s="85"/>
      <c r="AB26" s="85"/>
      <c r="AC26" s="85"/>
      <c r="AD26" s="85"/>
      <c r="AE26" s="85"/>
      <c r="AF26" s="85"/>
      <c r="AG26" s="85"/>
    </row>
    <row r="27" spans="2:33" ht="16" customHeight="1" x14ac:dyDescent="0.2">
      <c r="T27" s="85"/>
      <c r="U27" s="85"/>
      <c r="V27" s="85"/>
      <c r="W27" s="85"/>
      <c r="X27" s="85"/>
      <c r="Y27" s="85"/>
      <c r="Z27" s="85"/>
      <c r="AA27" s="85"/>
      <c r="AB27" s="85"/>
      <c r="AC27" s="85"/>
      <c r="AD27" s="85"/>
      <c r="AE27" s="85"/>
      <c r="AF27" s="85"/>
      <c r="AG27" s="85"/>
    </row>
    <row r="28" spans="2:33" ht="16" customHeight="1" x14ac:dyDescent="0.2">
      <c r="T28" s="85"/>
      <c r="U28" s="85"/>
      <c r="V28" s="85"/>
      <c r="W28" s="85"/>
      <c r="X28" s="85"/>
      <c r="Y28" s="85"/>
      <c r="Z28" s="85"/>
      <c r="AA28" s="85"/>
      <c r="AB28" s="85"/>
      <c r="AC28" s="85"/>
      <c r="AD28" s="85"/>
      <c r="AE28" s="85"/>
      <c r="AF28" s="85"/>
      <c r="AG28" s="85"/>
    </row>
    <row r="29" spans="2:33" ht="16" customHeight="1" x14ac:dyDescent="0.2">
      <c r="T29" s="85"/>
      <c r="U29" s="85"/>
      <c r="V29" s="85"/>
      <c r="W29" s="85"/>
      <c r="X29" s="85"/>
      <c r="Y29" s="85"/>
      <c r="Z29" s="85"/>
      <c r="AA29" s="85"/>
      <c r="AB29" s="85"/>
      <c r="AC29" s="85"/>
      <c r="AD29" s="85"/>
      <c r="AE29" s="85"/>
      <c r="AF29" s="85"/>
      <c r="AG29" s="85"/>
    </row>
    <row r="30" spans="2:33" ht="16" customHeight="1" x14ac:dyDescent="0.2">
      <c r="T30" s="85"/>
      <c r="U30" s="85"/>
      <c r="V30" s="85"/>
      <c r="W30" s="85"/>
      <c r="X30" s="85"/>
      <c r="Y30" s="85"/>
      <c r="Z30" s="85"/>
      <c r="AA30" s="85"/>
      <c r="AB30" s="85"/>
      <c r="AC30" s="85"/>
      <c r="AD30" s="85"/>
      <c r="AE30" s="85"/>
      <c r="AF30" s="85"/>
      <c r="AG30" s="85"/>
    </row>
    <row r="31" spans="2:33" ht="16" customHeight="1" x14ac:dyDescent="0.2">
      <c r="T31" s="85"/>
      <c r="U31" s="85"/>
      <c r="V31" s="85"/>
      <c r="W31" s="85"/>
      <c r="X31" s="85"/>
      <c r="Y31" s="85"/>
      <c r="Z31" s="85"/>
      <c r="AA31" s="85"/>
      <c r="AB31" s="85"/>
      <c r="AC31" s="85"/>
      <c r="AD31" s="85"/>
      <c r="AE31" s="85"/>
      <c r="AF31" s="85"/>
      <c r="AG31" s="85"/>
    </row>
    <row r="32" spans="2:33" ht="16" customHeight="1" x14ac:dyDescent="0.2">
      <c r="T32" s="85"/>
      <c r="U32" s="85"/>
      <c r="V32" s="85"/>
      <c r="W32" s="85"/>
      <c r="X32" s="85"/>
      <c r="Y32" s="85"/>
      <c r="Z32" s="85"/>
      <c r="AA32" s="85"/>
      <c r="AB32" s="85"/>
      <c r="AC32" s="85"/>
      <c r="AD32" s="85"/>
      <c r="AE32" s="85"/>
      <c r="AF32" s="85"/>
      <c r="AG32" s="85"/>
    </row>
    <row r="33" spans="2:33" ht="16" customHeight="1" x14ac:dyDescent="0.2">
      <c r="T33" s="85"/>
      <c r="U33" s="85"/>
      <c r="V33" s="85"/>
      <c r="W33" s="85"/>
      <c r="X33" s="85"/>
      <c r="Y33" s="85"/>
      <c r="Z33" s="85"/>
      <c r="AA33" s="85"/>
      <c r="AB33" s="85"/>
      <c r="AC33" s="85"/>
      <c r="AD33" s="85"/>
      <c r="AE33" s="85"/>
      <c r="AF33" s="85"/>
      <c r="AG33" s="85"/>
    </row>
    <row r="34" spans="2:33" ht="16" customHeight="1" x14ac:dyDescent="0.2">
      <c r="T34" s="85"/>
      <c r="U34" s="85"/>
      <c r="V34" s="85"/>
      <c r="W34" s="85"/>
      <c r="X34" s="85"/>
      <c r="Y34" s="85"/>
      <c r="Z34" s="85"/>
      <c r="AA34" s="85"/>
      <c r="AB34" s="85"/>
      <c r="AC34" s="85"/>
      <c r="AD34" s="85"/>
      <c r="AE34" s="85"/>
      <c r="AF34" s="85"/>
      <c r="AG34" s="85"/>
    </row>
    <row r="35" spans="2:33" ht="16" customHeight="1" x14ac:dyDescent="0.2">
      <c r="T35" s="85"/>
      <c r="U35" s="85"/>
      <c r="V35" s="85"/>
      <c r="W35" s="85"/>
      <c r="X35" s="85"/>
      <c r="Y35" s="85"/>
      <c r="Z35" s="85"/>
      <c r="AA35" s="85"/>
      <c r="AB35" s="85"/>
      <c r="AC35" s="85"/>
      <c r="AD35" s="85"/>
      <c r="AE35" s="85"/>
      <c r="AF35" s="85"/>
      <c r="AG35" s="85"/>
    </row>
    <row r="36" spans="2:33" ht="16" customHeight="1" x14ac:dyDescent="0.2">
      <c r="T36" s="85"/>
      <c r="U36" s="85"/>
      <c r="V36" s="85"/>
      <c r="W36" s="85"/>
      <c r="X36" s="85"/>
      <c r="Y36" s="85"/>
      <c r="Z36" s="85"/>
      <c r="AA36" s="85"/>
      <c r="AB36" s="85"/>
      <c r="AC36" s="85"/>
      <c r="AD36" s="85"/>
      <c r="AE36" s="85"/>
      <c r="AF36" s="85"/>
      <c r="AG36" s="85"/>
    </row>
    <row r="37" spans="2:33" ht="16" customHeight="1" x14ac:dyDescent="0.2">
      <c r="T37" s="85"/>
      <c r="U37" s="85"/>
      <c r="V37" s="85"/>
      <c r="W37" s="85"/>
      <c r="X37" s="85"/>
      <c r="Y37" s="85"/>
      <c r="Z37" s="85"/>
      <c r="AA37" s="85"/>
      <c r="AB37" s="85"/>
      <c r="AC37" s="85"/>
      <c r="AD37" s="85"/>
      <c r="AE37" s="85"/>
      <c r="AF37" s="85"/>
      <c r="AG37" s="85"/>
    </row>
    <row r="38" spans="2:33" ht="16" customHeight="1" x14ac:dyDescent="0.2">
      <c r="T38" s="85"/>
      <c r="U38" s="85"/>
      <c r="V38" s="85"/>
      <c r="W38" s="85"/>
      <c r="X38" s="85"/>
      <c r="Y38" s="85"/>
      <c r="Z38" s="85"/>
      <c r="AA38" s="85"/>
      <c r="AB38" s="85"/>
      <c r="AC38" s="85"/>
      <c r="AD38" s="85"/>
      <c r="AE38" s="85"/>
      <c r="AF38" s="85"/>
      <c r="AG38" s="85"/>
    </row>
    <row r="39" spans="2:33" ht="16" customHeight="1" x14ac:dyDescent="0.2">
      <c r="T39" s="85"/>
      <c r="U39" s="85"/>
      <c r="V39" s="85"/>
      <c r="W39" s="85"/>
      <c r="X39" s="85"/>
      <c r="Y39" s="85"/>
      <c r="Z39" s="85"/>
      <c r="AA39" s="85"/>
      <c r="AB39" s="85"/>
      <c r="AC39" s="85"/>
      <c r="AD39" s="85"/>
      <c r="AE39" s="85"/>
      <c r="AF39" s="85"/>
      <c r="AG39" s="85"/>
    </row>
    <row r="40" spans="2:33" ht="16" customHeight="1" x14ac:dyDescent="0.2">
      <c r="B40" s="82" t="s">
        <v>214</v>
      </c>
      <c r="C40" s="82"/>
      <c r="D40" s="82"/>
      <c r="E40" s="82"/>
      <c r="F40" s="82"/>
      <c r="G40" s="82"/>
      <c r="K40" s="82" t="s">
        <v>215</v>
      </c>
      <c r="L40" s="82"/>
      <c r="M40" s="82"/>
      <c r="N40" s="82"/>
      <c r="O40" s="82"/>
      <c r="P40" s="82"/>
      <c r="T40" s="85"/>
      <c r="U40" s="85"/>
      <c r="V40" s="85"/>
      <c r="W40" s="85"/>
      <c r="X40" s="85"/>
      <c r="Y40" s="85"/>
      <c r="Z40" s="85"/>
      <c r="AA40" s="85"/>
      <c r="AB40" s="85"/>
      <c r="AC40" s="85"/>
      <c r="AD40" s="85"/>
      <c r="AE40" s="85"/>
      <c r="AF40" s="85"/>
      <c r="AG40" s="85"/>
    </row>
    <row r="41" spans="2:33" ht="16" customHeight="1" x14ac:dyDescent="0.2">
      <c r="B41" s="81"/>
      <c r="C41" s="81"/>
      <c r="D41" s="81"/>
      <c r="E41" s="81"/>
      <c r="F41" s="81"/>
      <c r="G41" s="81"/>
      <c r="K41" s="81"/>
      <c r="L41" s="81"/>
      <c r="M41" s="81"/>
      <c r="N41" s="81"/>
      <c r="O41" s="81"/>
      <c r="P41" s="81"/>
      <c r="T41" s="85"/>
      <c r="U41" s="85"/>
      <c r="V41" s="85"/>
      <c r="W41" s="85"/>
      <c r="X41" s="85"/>
      <c r="Y41" s="85"/>
      <c r="Z41" s="85"/>
      <c r="AA41" s="85"/>
      <c r="AB41" s="85"/>
      <c r="AC41" s="85"/>
      <c r="AD41" s="85"/>
      <c r="AE41" s="85"/>
      <c r="AF41" s="85"/>
      <c r="AG41" s="85"/>
    </row>
    <row r="42" spans="2:33" x14ac:dyDescent="0.2">
      <c r="T42" s="85"/>
      <c r="U42" s="85"/>
      <c r="V42" s="85"/>
      <c r="W42" s="85"/>
      <c r="X42" s="85"/>
      <c r="Y42" s="85"/>
      <c r="Z42" s="85"/>
      <c r="AA42" s="85"/>
      <c r="AB42" s="85"/>
      <c r="AC42" s="85"/>
      <c r="AD42" s="85"/>
      <c r="AE42" s="85"/>
      <c r="AF42" s="85"/>
      <c r="AG42" s="85"/>
    </row>
    <row r="43" spans="2:33" ht="19" x14ac:dyDescent="0.25">
      <c r="B43" s="76" t="s">
        <v>84</v>
      </c>
      <c r="C43" s="77">
        <v>0.02</v>
      </c>
      <c r="D43" s="77">
        <v>2.5000000000000001E-2</v>
      </c>
      <c r="E43" s="77">
        <v>0.03</v>
      </c>
      <c r="L43" s="118" t="s">
        <v>134</v>
      </c>
      <c r="M43" s="118" t="s">
        <v>216</v>
      </c>
      <c r="N43" s="118" t="s">
        <v>148</v>
      </c>
      <c r="O43" s="118" t="s">
        <v>97</v>
      </c>
      <c r="P43" s="118" t="s">
        <v>151</v>
      </c>
      <c r="T43" s="85"/>
      <c r="U43" s="85"/>
      <c r="V43" s="85"/>
      <c r="W43" s="85"/>
      <c r="X43" s="85"/>
      <c r="Y43" s="85"/>
      <c r="Z43" s="85"/>
      <c r="AA43" s="85"/>
      <c r="AB43" s="85"/>
      <c r="AC43" s="85"/>
      <c r="AD43" s="85"/>
      <c r="AE43" s="85"/>
      <c r="AF43" s="85"/>
      <c r="AG43" s="85"/>
    </row>
    <row r="44" spans="2:33" ht="19" x14ac:dyDescent="0.25">
      <c r="B44" s="77">
        <v>0.09</v>
      </c>
      <c r="C44" s="78">
        <v>112.84265311575533</v>
      </c>
      <c r="D44" s="78">
        <v>119.92722377631983</v>
      </c>
      <c r="E44" s="79">
        <v>128.19255621364516</v>
      </c>
      <c r="L44" s="119" t="s">
        <v>110</v>
      </c>
      <c r="M44" s="119">
        <v>258</v>
      </c>
      <c r="N44" s="75">
        <v>250.12</v>
      </c>
      <c r="O44" s="75" t="s">
        <v>222</v>
      </c>
      <c r="P44" s="75" t="s">
        <v>139</v>
      </c>
      <c r="T44" s="85"/>
      <c r="U44" s="85"/>
      <c r="V44" s="85"/>
      <c r="W44" s="85"/>
      <c r="X44" s="85"/>
      <c r="Y44" s="85"/>
      <c r="Z44" s="85"/>
      <c r="AA44" s="85"/>
      <c r="AB44" s="85"/>
      <c r="AC44" s="85"/>
      <c r="AD44" s="85"/>
      <c r="AE44" s="85"/>
      <c r="AF44" s="85"/>
      <c r="AG44" s="85"/>
    </row>
    <row r="45" spans="2:33" ht="19" x14ac:dyDescent="0.25">
      <c r="B45" s="77">
        <v>0.1</v>
      </c>
      <c r="C45" s="78">
        <v>98.703512049636416</v>
      </c>
      <c r="D45" s="79">
        <v>103.88326365464435</v>
      </c>
      <c r="E45" s="78">
        <v>109.80297977465348</v>
      </c>
      <c r="L45" s="119" t="s">
        <v>109</v>
      </c>
      <c r="M45" s="119">
        <v>206</v>
      </c>
      <c r="N45" s="75">
        <f>N44</f>
        <v>250.12</v>
      </c>
      <c r="O45" s="75" t="s">
        <v>223</v>
      </c>
      <c r="P45" s="75" t="s">
        <v>140</v>
      </c>
    </row>
    <row r="46" spans="2:33" ht="19" x14ac:dyDescent="0.25">
      <c r="B46" s="77">
        <v>0.11</v>
      </c>
      <c r="C46" s="79">
        <v>87.865241844594578</v>
      </c>
      <c r="D46" s="78">
        <v>91.783360413719777</v>
      </c>
      <c r="E46" s="78">
        <v>96.191243803985671</v>
      </c>
      <c r="L46" s="119" t="s">
        <v>108</v>
      </c>
      <c r="M46" s="119">
        <v>213</v>
      </c>
      <c r="N46" s="75">
        <f>N45</f>
        <v>250.12</v>
      </c>
      <c r="O46" s="75" t="str">
        <f>O45</f>
        <v>IP &lt; CP</v>
      </c>
      <c r="P46" s="75" t="s">
        <v>140</v>
      </c>
    </row>
    <row r="47" spans="2:33" ht="19" x14ac:dyDescent="0.25">
      <c r="L47" s="119" t="s">
        <v>119</v>
      </c>
      <c r="M47" s="119">
        <v>48</v>
      </c>
      <c r="N47" s="75">
        <f>N46</f>
        <v>250.12</v>
      </c>
      <c r="O47" s="75" t="str">
        <f>O46</f>
        <v>IP &lt; CP</v>
      </c>
      <c r="P47" s="75" t="str">
        <f>P46</f>
        <v>Overvalued</v>
      </c>
    </row>
    <row r="48" spans="2:33" ht="19" x14ac:dyDescent="0.25">
      <c r="K48" s="80"/>
      <c r="L48" s="80"/>
    </row>
    <row r="50" spans="2:16" x14ac:dyDescent="0.2">
      <c r="B50" s="81" t="s">
        <v>217</v>
      </c>
      <c r="C50" s="81"/>
      <c r="D50" s="81"/>
      <c r="E50" s="81"/>
      <c r="F50" s="81"/>
      <c r="G50" s="81"/>
      <c r="K50" s="82" t="s">
        <v>218</v>
      </c>
      <c r="L50" s="82"/>
      <c r="M50" s="82"/>
      <c r="N50" s="82"/>
      <c r="O50" s="82"/>
      <c r="P50" s="82"/>
    </row>
    <row r="51" spans="2:16" x14ac:dyDescent="0.2">
      <c r="B51" s="81"/>
      <c r="C51" s="81"/>
      <c r="D51" s="81"/>
      <c r="E51" s="81"/>
      <c r="F51" s="81"/>
      <c r="G51" s="81"/>
      <c r="K51" s="81"/>
      <c r="L51" s="81"/>
      <c r="M51" s="81"/>
      <c r="N51" s="81"/>
      <c r="O51" s="81"/>
      <c r="P51" s="81"/>
    </row>
    <row r="54" spans="2:16" x14ac:dyDescent="0.2">
      <c r="K54" s="83" t="s">
        <v>219</v>
      </c>
      <c r="L54" s="83"/>
      <c r="M54" s="83"/>
      <c r="N54" s="83"/>
      <c r="O54" s="83"/>
      <c r="P54" s="83"/>
    </row>
    <row r="55" spans="2:16" x14ac:dyDescent="0.2">
      <c r="K55" s="83"/>
      <c r="L55" s="83"/>
      <c r="M55" s="83"/>
      <c r="N55" s="83"/>
      <c r="O55" s="83"/>
      <c r="P55" s="83"/>
    </row>
    <row r="56" spans="2:16" x14ac:dyDescent="0.2">
      <c r="K56" s="83"/>
      <c r="L56" s="83"/>
      <c r="M56" s="83"/>
      <c r="N56" s="83"/>
      <c r="O56" s="83"/>
      <c r="P56" s="83"/>
    </row>
    <row r="57" spans="2:16" x14ac:dyDescent="0.2">
      <c r="K57" s="83"/>
      <c r="L57" s="83"/>
      <c r="M57" s="83"/>
      <c r="N57" s="83"/>
      <c r="O57" s="83"/>
      <c r="P57" s="83"/>
    </row>
    <row r="58" spans="2:16" x14ac:dyDescent="0.2">
      <c r="K58" s="83"/>
      <c r="L58" s="83"/>
      <c r="M58" s="83"/>
      <c r="N58" s="83"/>
      <c r="O58" s="83"/>
      <c r="P58" s="83"/>
    </row>
    <row r="59" spans="2:16" x14ac:dyDescent="0.2">
      <c r="K59" s="83"/>
      <c r="L59" s="83"/>
      <c r="M59" s="83"/>
      <c r="N59" s="83"/>
      <c r="O59" s="83"/>
      <c r="P59" s="83"/>
    </row>
    <row r="60" spans="2:16" x14ac:dyDescent="0.2">
      <c r="K60" s="83"/>
      <c r="L60" s="83"/>
      <c r="M60" s="83"/>
      <c r="N60" s="83"/>
      <c r="O60" s="83"/>
      <c r="P60" s="83"/>
    </row>
    <row r="61" spans="2:16" x14ac:dyDescent="0.2">
      <c r="K61" s="83"/>
      <c r="L61" s="83"/>
      <c r="M61" s="83"/>
      <c r="N61" s="83"/>
      <c r="O61" s="83"/>
      <c r="P61" s="83"/>
    </row>
    <row r="62" spans="2:16" x14ac:dyDescent="0.2">
      <c r="K62" s="83"/>
      <c r="L62" s="83"/>
      <c r="M62" s="83"/>
      <c r="N62" s="83"/>
      <c r="O62" s="83"/>
      <c r="P62" s="83"/>
    </row>
    <row r="63" spans="2:16" x14ac:dyDescent="0.2">
      <c r="K63" s="83"/>
      <c r="L63" s="83"/>
      <c r="M63" s="83"/>
      <c r="N63" s="83"/>
      <c r="O63" s="83"/>
      <c r="P63" s="83"/>
    </row>
    <row r="64" spans="2:16" x14ac:dyDescent="0.2">
      <c r="K64" s="83"/>
      <c r="L64" s="83"/>
      <c r="M64" s="83"/>
      <c r="N64" s="83"/>
      <c r="O64" s="83"/>
      <c r="P64" s="83"/>
    </row>
    <row r="65" spans="11:16" x14ac:dyDescent="0.2">
      <c r="K65" s="83"/>
      <c r="L65" s="83"/>
      <c r="M65" s="83"/>
      <c r="N65" s="83"/>
      <c r="O65" s="83"/>
      <c r="P65" s="83"/>
    </row>
    <row r="66" spans="11:16" x14ac:dyDescent="0.2">
      <c r="K66" s="83"/>
      <c r="L66" s="83"/>
      <c r="M66" s="83"/>
      <c r="N66" s="83"/>
      <c r="O66" s="83"/>
      <c r="P66" s="83"/>
    </row>
    <row r="67" spans="11:16" x14ac:dyDescent="0.2">
      <c r="K67" s="83"/>
      <c r="L67" s="83"/>
      <c r="M67" s="83"/>
      <c r="N67" s="83"/>
      <c r="O67" s="83"/>
      <c r="P67" s="83"/>
    </row>
  </sheetData>
  <mergeCells count="30">
    <mergeCell ref="B4:P5"/>
    <mergeCell ref="B6:P6"/>
    <mergeCell ref="B7:P8"/>
    <mergeCell ref="B9:G10"/>
    <mergeCell ref="B12:E12"/>
    <mergeCell ref="F12:G12"/>
    <mergeCell ref="K9:P10"/>
    <mergeCell ref="F16:G16"/>
    <mergeCell ref="F17:G17"/>
    <mergeCell ref="F18:G18"/>
    <mergeCell ref="F19:G19"/>
    <mergeCell ref="B13:E13"/>
    <mergeCell ref="B14:E14"/>
    <mergeCell ref="B15:E15"/>
    <mergeCell ref="B16:E16"/>
    <mergeCell ref="B17:E17"/>
    <mergeCell ref="B18:E18"/>
    <mergeCell ref="B50:G51"/>
    <mergeCell ref="K50:P51"/>
    <mergeCell ref="K54:P67"/>
    <mergeCell ref="T5:AG5"/>
    <mergeCell ref="T6:AG44"/>
    <mergeCell ref="B22:G23"/>
    <mergeCell ref="K22:P23"/>
    <mergeCell ref="B40:G41"/>
    <mergeCell ref="K40:P41"/>
    <mergeCell ref="B19:E19"/>
    <mergeCell ref="F13:G13"/>
    <mergeCell ref="F14:G14"/>
    <mergeCell ref="F15:G15"/>
  </mergeCells>
  <conditionalFormatting sqref="C44:E46">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DA14E-DBF0-0A47-8F80-E2F34D7672B7}">
  <dimension ref="B2:Q37"/>
  <sheetViews>
    <sheetView showGridLines="0" zoomScale="75" workbookViewId="0">
      <selection activeCell="J46" sqref="J46"/>
    </sheetView>
  </sheetViews>
  <sheetFormatPr baseColWidth="10" defaultRowHeight="16" x14ac:dyDescent="0.2"/>
  <cols>
    <col min="2" max="2" width="25.1640625" bestFit="1" customWidth="1"/>
  </cols>
  <sheetData>
    <row r="2" spans="2:17" x14ac:dyDescent="0.2">
      <c r="B2" s="99" t="s">
        <v>168</v>
      </c>
      <c r="C2" s="99"/>
      <c r="D2" s="99"/>
      <c r="E2" s="99"/>
      <c r="F2" s="99"/>
      <c r="G2" s="99"/>
      <c r="J2" s="100" t="s">
        <v>174</v>
      </c>
      <c r="K2" s="100"/>
      <c r="L2" s="100"/>
      <c r="M2" s="100"/>
      <c r="N2" s="100"/>
      <c r="O2" s="100"/>
      <c r="P2" s="100"/>
      <c r="Q2" s="100"/>
    </row>
    <row r="3" spans="2:17" ht="16" customHeight="1" x14ac:dyDescent="0.2">
      <c r="B3" t="s">
        <v>15</v>
      </c>
      <c r="J3" s="101" t="s">
        <v>175</v>
      </c>
      <c r="K3" s="101"/>
      <c r="L3" s="101"/>
      <c r="M3" s="101"/>
      <c r="N3" s="101"/>
      <c r="O3" s="101"/>
      <c r="P3" s="101"/>
      <c r="Q3" s="101"/>
    </row>
    <row r="4" spans="2:17" x14ac:dyDescent="0.2">
      <c r="B4" s="1" t="s">
        <v>29</v>
      </c>
      <c r="C4" s="1">
        <v>2025</v>
      </c>
      <c r="D4" s="1">
        <v>2024</v>
      </c>
      <c r="E4" s="1">
        <v>2023</v>
      </c>
      <c r="F4" s="1">
        <v>2022</v>
      </c>
      <c r="G4" s="1">
        <v>2021</v>
      </c>
      <c r="J4" s="101"/>
      <c r="K4" s="101"/>
      <c r="L4" s="101"/>
      <c r="M4" s="101"/>
      <c r="N4" s="101"/>
      <c r="O4" s="101"/>
      <c r="P4" s="101"/>
      <c r="Q4" s="101"/>
    </row>
    <row r="5" spans="2:17" x14ac:dyDescent="0.2">
      <c r="J5" s="101"/>
      <c r="K5" s="101"/>
      <c r="L5" s="101"/>
      <c r="M5" s="101"/>
      <c r="N5" s="101"/>
      <c r="O5" s="101"/>
      <c r="P5" s="101"/>
      <c r="Q5" s="101"/>
    </row>
    <row r="6" spans="2:17" x14ac:dyDescent="0.2">
      <c r="B6" s="1" t="s">
        <v>0</v>
      </c>
      <c r="C6" s="1">
        <v>416161</v>
      </c>
      <c r="D6" s="1">
        <v>391035</v>
      </c>
      <c r="E6" s="1">
        <v>383285</v>
      </c>
      <c r="F6" s="1">
        <v>394328</v>
      </c>
      <c r="G6" s="1">
        <v>365817</v>
      </c>
      <c r="J6" s="101"/>
      <c r="K6" s="101"/>
      <c r="L6" s="101"/>
      <c r="M6" s="101"/>
      <c r="N6" s="101"/>
      <c r="O6" s="101"/>
      <c r="P6" s="101"/>
      <c r="Q6" s="101"/>
    </row>
    <row r="7" spans="2:17" x14ac:dyDescent="0.2">
      <c r="B7" s="1" t="s">
        <v>1</v>
      </c>
      <c r="C7" s="1">
        <v>133050</v>
      </c>
      <c r="D7" s="1">
        <v>123216</v>
      </c>
      <c r="E7" s="1">
        <v>114301</v>
      </c>
      <c r="F7" s="1">
        <v>119437</v>
      </c>
      <c r="G7" s="1">
        <v>108949</v>
      </c>
      <c r="J7" s="101"/>
      <c r="K7" s="101"/>
      <c r="L7" s="101"/>
      <c r="M7" s="101"/>
      <c r="N7" s="101"/>
      <c r="O7" s="101"/>
      <c r="P7" s="101"/>
      <c r="Q7" s="101"/>
    </row>
    <row r="8" spans="2:17" x14ac:dyDescent="0.2">
      <c r="B8" s="1" t="s">
        <v>14</v>
      </c>
      <c r="C8" s="1">
        <v>132729</v>
      </c>
      <c r="D8" s="1">
        <v>123485</v>
      </c>
      <c r="E8" s="1">
        <v>113736</v>
      </c>
      <c r="F8" s="1">
        <v>119103</v>
      </c>
      <c r="G8" s="1">
        <v>109217</v>
      </c>
      <c r="J8" s="101"/>
      <c r="K8" s="101"/>
      <c r="L8" s="101"/>
      <c r="M8" s="101"/>
      <c r="N8" s="101"/>
      <c r="O8" s="101"/>
      <c r="P8" s="101"/>
      <c r="Q8" s="101"/>
    </row>
    <row r="9" spans="2:17" x14ac:dyDescent="0.2">
      <c r="B9" s="1" t="s">
        <v>3</v>
      </c>
      <c r="C9" s="1">
        <v>20719</v>
      </c>
      <c r="D9" s="1">
        <v>29749</v>
      </c>
      <c r="E9" s="1">
        <v>16741</v>
      </c>
      <c r="F9" s="1">
        <v>19300</v>
      </c>
      <c r="G9" s="1">
        <v>14527</v>
      </c>
      <c r="J9" s="101"/>
      <c r="K9" s="101"/>
      <c r="L9" s="101"/>
      <c r="M9" s="101"/>
      <c r="N9" s="101"/>
      <c r="O9" s="101"/>
      <c r="P9" s="101"/>
      <c r="Q9" s="101"/>
    </row>
    <row r="10" spans="2:17" x14ac:dyDescent="0.2">
      <c r="B10" s="1" t="s">
        <v>2</v>
      </c>
      <c r="C10" s="1">
        <v>112010</v>
      </c>
      <c r="D10" s="1">
        <v>93736</v>
      </c>
      <c r="E10" s="1">
        <v>96995</v>
      </c>
      <c r="F10" s="1">
        <v>99803</v>
      </c>
      <c r="G10" s="1">
        <v>94680</v>
      </c>
      <c r="J10" s="101"/>
      <c r="K10" s="101"/>
      <c r="L10" s="101"/>
      <c r="M10" s="101"/>
      <c r="N10" s="101"/>
      <c r="O10" s="101"/>
      <c r="P10" s="101"/>
      <c r="Q10" s="101"/>
    </row>
    <row r="11" spans="2:17" x14ac:dyDescent="0.2">
      <c r="J11" s="101"/>
      <c r="K11" s="101"/>
      <c r="L11" s="101"/>
      <c r="M11" s="101"/>
      <c r="N11" s="101"/>
      <c r="O11" s="101"/>
      <c r="P11" s="101"/>
      <c r="Q11" s="101"/>
    </row>
    <row r="12" spans="2:17" x14ac:dyDescent="0.2">
      <c r="B12" t="s">
        <v>16</v>
      </c>
      <c r="J12" s="101"/>
      <c r="K12" s="101"/>
      <c r="L12" s="101"/>
      <c r="M12" s="101"/>
      <c r="N12" s="101"/>
      <c r="O12" s="101"/>
      <c r="P12" s="101"/>
      <c r="Q12" s="101"/>
    </row>
    <row r="13" spans="2:17" x14ac:dyDescent="0.2">
      <c r="J13" s="101"/>
      <c r="K13" s="101"/>
      <c r="L13" s="101"/>
      <c r="M13" s="101"/>
      <c r="N13" s="101"/>
      <c r="O13" s="101"/>
      <c r="P13" s="101"/>
      <c r="Q13" s="101"/>
    </row>
    <row r="14" spans="2:17" x14ac:dyDescent="0.2">
      <c r="B14" s="1" t="s">
        <v>4</v>
      </c>
      <c r="C14" s="1">
        <v>11698</v>
      </c>
      <c r="D14" s="1">
        <v>11445</v>
      </c>
      <c r="E14" s="1">
        <v>11519</v>
      </c>
      <c r="F14" s="2">
        <v>11104</v>
      </c>
      <c r="G14" s="1">
        <v>11284</v>
      </c>
      <c r="J14" s="101"/>
      <c r="K14" s="101"/>
      <c r="L14" s="101"/>
      <c r="M14" s="101"/>
      <c r="N14" s="101"/>
      <c r="O14" s="101"/>
      <c r="P14" s="101"/>
      <c r="Q14" s="101"/>
    </row>
    <row r="15" spans="2:17" x14ac:dyDescent="0.2">
      <c r="B15" s="1" t="s">
        <v>5</v>
      </c>
      <c r="C15" s="1">
        <v>-12715</v>
      </c>
      <c r="D15" s="1">
        <v>-9447</v>
      </c>
      <c r="E15" s="1">
        <v>-10959</v>
      </c>
      <c r="F15" s="1">
        <v>-10708</v>
      </c>
      <c r="G15" s="1">
        <v>-11085</v>
      </c>
      <c r="J15" s="101"/>
      <c r="K15" s="101"/>
      <c r="L15" s="101"/>
      <c r="M15" s="101"/>
      <c r="N15" s="101"/>
      <c r="O15" s="101"/>
      <c r="P15" s="101"/>
      <c r="Q15" s="101"/>
    </row>
    <row r="16" spans="2:17" x14ac:dyDescent="0.2">
      <c r="J16" s="101"/>
      <c r="K16" s="101"/>
      <c r="L16" s="101"/>
      <c r="M16" s="101"/>
      <c r="N16" s="101"/>
      <c r="O16" s="101"/>
      <c r="P16" s="101"/>
      <c r="Q16" s="101"/>
    </row>
    <row r="17" spans="2:17" x14ac:dyDescent="0.2">
      <c r="B17" t="s">
        <v>17</v>
      </c>
      <c r="J17" s="101"/>
      <c r="K17" s="101"/>
      <c r="L17" s="101"/>
      <c r="M17" s="101"/>
      <c r="N17" s="101"/>
      <c r="O17" s="101"/>
      <c r="P17" s="101"/>
      <c r="Q17" s="101"/>
    </row>
    <row r="18" spans="2:17" x14ac:dyDescent="0.2">
      <c r="J18" s="101"/>
      <c r="K18" s="101"/>
      <c r="L18" s="101"/>
      <c r="M18" s="101"/>
      <c r="N18" s="101"/>
      <c r="O18" s="101"/>
      <c r="P18" s="101"/>
      <c r="Q18" s="101"/>
    </row>
    <row r="19" spans="2:17" x14ac:dyDescent="0.2">
      <c r="B19" s="1" t="s">
        <v>6</v>
      </c>
      <c r="C19" s="1">
        <v>147957</v>
      </c>
      <c r="D19" s="1">
        <v>152987</v>
      </c>
      <c r="E19" s="1">
        <v>143566</v>
      </c>
      <c r="F19" s="1">
        <v>135405</v>
      </c>
      <c r="G19" s="1">
        <v>134836</v>
      </c>
      <c r="J19" s="101"/>
      <c r="K19" s="101"/>
      <c r="L19" s="101"/>
      <c r="M19" s="101"/>
      <c r="N19" s="101"/>
      <c r="O19" s="101"/>
      <c r="P19" s="101"/>
      <c r="Q19" s="101"/>
    </row>
    <row r="20" spans="2:17" x14ac:dyDescent="0.2">
      <c r="B20" s="1" t="s">
        <v>7</v>
      </c>
      <c r="C20" s="2">
        <v>165631</v>
      </c>
      <c r="D20" s="2">
        <v>176392</v>
      </c>
      <c r="E20" s="2">
        <v>145308</v>
      </c>
      <c r="F20" s="2">
        <v>153982</v>
      </c>
      <c r="G20" s="2">
        <v>125481</v>
      </c>
      <c r="J20" s="101"/>
      <c r="K20" s="101"/>
      <c r="L20" s="101"/>
      <c r="M20" s="101"/>
      <c r="N20" s="101"/>
      <c r="O20" s="101"/>
      <c r="P20" s="101"/>
      <c r="Q20" s="101"/>
    </row>
    <row r="21" spans="2:17" x14ac:dyDescent="0.2">
      <c r="B21" s="1" t="s">
        <v>8</v>
      </c>
      <c r="C21" s="1">
        <v>35934</v>
      </c>
      <c r="D21" s="1">
        <v>29943</v>
      </c>
      <c r="E21" s="1">
        <v>29965</v>
      </c>
      <c r="F21" s="1">
        <v>23646</v>
      </c>
      <c r="G21" s="1">
        <v>34940</v>
      </c>
      <c r="J21" s="101"/>
      <c r="K21" s="101"/>
      <c r="L21" s="101"/>
      <c r="M21" s="101"/>
      <c r="N21" s="101"/>
      <c r="O21" s="101"/>
      <c r="P21" s="101"/>
      <c r="Q21" s="101"/>
    </row>
    <row r="22" spans="2:17" x14ac:dyDescent="0.2">
      <c r="B22" s="1" t="s">
        <v>9</v>
      </c>
      <c r="C22" s="2">
        <v>98657</v>
      </c>
      <c r="D22" s="2">
        <v>106629</v>
      </c>
      <c r="E22" s="2">
        <v>111088</v>
      </c>
      <c r="F22" s="2">
        <v>120069</v>
      </c>
      <c r="G22" s="2">
        <v>124719</v>
      </c>
      <c r="J22" s="101"/>
      <c r="K22" s="101"/>
      <c r="L22" s="101"/>
      <c r="M22" s="101"/>
      <c r="N22" s="101"/>
      <c r="O22" s="101"/>
      <c r="P22" s="101"/>
      <c r="Q22" s="101"/>
    </row>
    <row r="23" spans="2:17" x14ac:dyDescent="0.2">
      <c r="J23" s="101"/>
      <c r="K23" s="101"/>
      <c r="L23" s="101"/>
      <c r="M23" s="101"/>
      <c r="N23" s="101"/>
      <c r="O23" s="101"/>
      <c r="P23" s="101"/>
      <c r="Q23" s="101"/>
    </row>
    <row r="24" spans="2:17" x14ac:dyDescent="0.2">
      <c r="B24" t="s">
        <v>18</v>
      </c>
      <c r="J24" s="101"/>
      <c r="K24" s="101"/>
      <c r="L24" s="101"/>
      <c r="M24" s="101"/>
      <c r="N24" s="101"/>
      <c r="O24" s="101"/>
      <c r="P24" s="101"/>
      <c r="Q24" s="101"/>
    </row>
    <row r="25" spans="2:17" x14ac:dyDescent="0.2">
      <c r="J25" s="101"/>
      <c r="K25" s="101"/>
      <c r="L25" s="101"/>
      <c r="M25" s="101"/>
      <c r="N25" s="101"/>
      <c r="O25" s="101"/>
      <c r="P25" s="101"/>
      <c r="Q25" s="101"/>
    </row>
    <row r="26" spans="2:17" x14ac:dyDescent="0.2">
      <c r="B26" s="1" t="s">
        <v>10</v>
      </c>
      <c r="C26" s="1">
        <v>275</v>
      </c>
      <c r="J26" s="101"/>
      <c r="K26" s="101"/>
      <c r="L26" s="101"/>
      <c r="M26" s="101"/>
      <c r="N26" s="101"/>
      <c r="O26" s="101"/>
      <c r="P26" s="101"/>
      <c r="Q26" s="101"/>
    </row>
    <row r="27" spans="2:17" x14ac:dyDescent="0.2">
      <c r="B27" s="1" t="s">
        <v>11</v>
      </c>
      <c r="C27" s="2">
        <v>14680</v>
      </c>
      <c r="J27" s="71"/>
      <c r="K27" s="71"/>
      <c r="L27" s="71"/>
      <c r="M27" s="71"/>
      <c r="N27" s="71"/>
      <c r="O27" s="71"/>
      <c r="P27" s="71"/>
      <c r="Q27" s="71"/>
    </row>
    <row r="28" spans="2:17" x14ac:dyDescent="0.2">
      <c r="B28" s="1" t="s">
        <v>12</v>
      </c>
      <c r="C28" s="2">
        <v>3670000</v>
      </c>
      <c r="J28" s="97" t="s">
        <v>176</v>
      </c>
      <c r="K28" s="97"/>
      <c r="L28" s="97"/>
      <c r="M28" s="97"/>
      <c r="N28" s="97"/>
      <c r="O28" s="97"/>
      <c r="P28" s="97"/>
      <c r="Q28" s="97"/>
    </row>
    <row r="29" spans="2:17" ht="16" customHeight="1" x14ac:dyDescent="0.2">
      <c r="B29" s="1" t="s">
        <v>13</v>
      </c>
      <c r="C29" s="2">
        <v>3620000</v>
      </c>
      <c r="J29" s="98" t="s">
        <v>177</v>
      </c>
      <c r="K29" s="98"/>
      <c r="L29" s="98"/>
      <c r="M29" s="98"/>
      <c r="N29" s="98"/>
      <c r="O29" s="98"/>
      <c r="P29" s="98"/>
      <c r="Q29" s="98"/>
    </row>
    <row r="30" spans="2:17" x14ac:dyDescent="0.2">
      <c r="J30" s="98"/>
      <c r="K30" s="98"/>
      <c r="L30" s="98"/>
      <c r="M30" s="98"/>
      <c r="N30" s="98"/>
      <c r="O30" s="98"/>
      <c r="P30" s="98"/>
      <c r="Q30" s="98"/>
    </row>
    <row r="31" spans="2:17" x14ac:dyDescent="0.2">
      <c r="J31" s="98"/>
      <c r="K31" s="98"/>
      <c r="L31" s="98"/>
      <c r="M31" s="98"/>
      <c r="N31" s="98"/>
      <c r="O31" s="98"/>
      <c r="P31" s="98"/>
      <c r="Q31" s="98"/>
    </row>
    <row r="32" spans="2:17" x14ac:dyDescent="0.2">
      <c r="J32" s="98"/>
      <c r="K32" s="98"/>
      <c r="L32" s="98"/>
      <c r="M32" s="98"/>
      <c r="N32" s="98"/>
      <c r="O32" s="98"/>
      <c r="P32" s="98"/>
      <c r="Q32" s="98"/>
    </row>
    <row r="33" spans="10:17" x14ac:dyDescent="0.2">
      <c r="J33" s="98"/>
      <c r="K33" s="98"/>
      <c r="L33" s="98"/>
      <c r="M33" s="98"/>
      <c r="N33" s="98"/>
      <c r="O33" s="98"/>
      <c r="P33" s="98"/>
      <c r="Q33" s="98"/>
    </row>
    <row r="34" spans="10:17" x14ac:dyDescent="0.2">
      <c r="J34" s="98"/>
      <c r="K34" s="98"/>
      <c r="L34" s="98"/>
      <c r="M34" s="98"/>
      <c r="N34" s="98"/>
      <c r="O34" s="98"/>
      <c r="P34" s="98"/>
      <c r="Q34" s="98"/>
    </row>
    <row r="35" spans="10:17" x14ac:dyDescent="0.2">
      <c r="J35" s="98"/>
      <c r="K35" s="98"/>
      <c r="L35" s="98"/>
      <c r="M35" s="98"/>
      <c r="N35" s="98"/>
      <c r="O35" s="98"/>
      <c r="P35" s="98"/>
      <c r="Q35" s="98"/>
    </row>
    <row r="36" spans="10:17" x14ac:dyDescent="0.2">
      <c r="J36" s="26"/>
      <c r="K36" s="26"/>
      <c r="L36" s="26"/>
      <c r="M36" s="26"/>
      <c r="N36" s="26"/>
      <c r="O36" s="26"/>
      <c r="P36" s="26"/>
      <c r="Q36" s="26"/>
    </row>
    <row r="37" spans="10:17" x14ac:dyDescent="0.2">
      <c r="J37" s="26"/>
      <c r="K37" s="26"/>
      <c r="L37" s="26"/>
      <c r="M37" s="26"/>
      <c r="N37" s="26"/>
      <c r="O37" s="26"/>
      <c r="P37" s="26"/>
      <c r="Q37" s="26"/>
    </row>
  </sheetData>
  <mergeCells count="5">
    <mergeCell ref="J28:Q28"/>
    <mergeCell ref="J29:Q35"/>
    <mergeCell ref="B2:G2"/>
    <mergeCell ref="J2:Q2"/>
    <mergeCell ref="J3:Q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8FB-D96D-6C4F-B2E9-98F3AC93090A}">
  <dimension ref="B2:R44"/>
  <sheetViews>
    <sheetView showGridLines="0" zoomScale="88" workbookViewId="0">
      <selection activeCell="T39" sqref="T39"/>
    </sheetView>
  </sheetViews>
  <sheetFormatPr baseColWidth="10" defaultRowHeight="16" x14ac:dyDescent="0.2"/>
  <cols>
    <col min="2" max="2" width="25.1640625" bestFit="1" customWidth="1"/>
    <col min="3" max="3" width="12.6640625" bestFit="1" customWidth="1"/>
  </cols>
  <sheetData>
    <row r="2" spans="2:18" x14ac:dyDescent="0.2">
      <c r="B2" s="103" t="s">
        <v>169</v>
      </c>
      <c r="C2" s="103"/>
      <c r="D2" s="103"/>
      <c r="E2" s="103"/>
      <c r="F2" s="103"/>
      <c r="G2" s="103"/>
    </row>
    <row r="4" spans="2:18" x14ac:dyDescent="0.2">
      <c r="B4" s="1" t="s">
        <v>29</v>
      </c>
      <c r="C4" s="1">
        <v>2025</v>
      </c>
      <c r="D4" s="1">
        <v>2024</v>
      </c>
      <c r="E4" s="1">
        <v>2023</v>
      </c>
      <c r="F4" s="1">
        <v>2022</v>
      </c>
      <c r="G4" s="1">
        <v>2021</v>
      </c>
      <c r="K4" s="97" t="s">
        <v>174</v>
      </c>
      <c r="L4" s="97"/>
      <c r="M4" s="97"/>
      <c r="N4" s="97"/>
      <c r="O4" s="97"/>
      <c r="P4" s="97"/>
      <c r="Q4" s="97"/>
      <c r="R4" s="97"/>
    </row>
    <row r="5" spans="2:18" ht="16" customHeight="1" x14ac:dyDescent="0.2">
      <c r="K5" s="98" t="s">
        <v>179</v>
      </c>
      <c r="L5" s="98"/>
      <c r="M5" s="98"/>
      <c r="N5" s="98"/>
      <c r="O5" s="98"/>
      <c r="P5" s="98"/>
      <c r="Q5" s="98"/>
      <c r="R5" s="98"/>
    </row>
    <row r="6" spans="2:18" x14ac:dyDescent="0.2">
      <c r="B6" s="102" t="s">
        <v>23</v>
      </c>
      <c r="C6" s="102"/>
      <c r="D6" s="102"/>
      <c r="E6" s="102"/>
      <c r="F6" s="102"/>
      <c r="G6" s="102"/>
      <c r="K6" s="98"/>
      <c r="L6" s="98"/>
      <c r="M6" s="98"/>
      <c r="N6" s="98"/>
      <c r="O6" s="98"/>
      <c r="P6" s="98"/>
      <c r="Q6" s="98"/>
      <c r="R6" s="98"/>
    </row>
    <row r="7" spans="2:18" ht="16" customHeight="1" x14ac:dyDescent="0.2">
      <c r="B7" s="1" t="s">
        <v>14</v>
      </c>
      <c r="C7" s="1">
        <v>132729</v>
      </c>
      <c r="D7" s="1">
        <v>123485</v>
      </c>
      <c r="E7" s="1">
        <v>113736</v>
      </c>
      <c r="F7" s="1">
        <v>119103</v>
      </c>
      <c r="G7" s="1">
        <v>109217</v>
      </c>
      <c r="K7" s="98"/>
      <c r="L7" s="98"/>
      <c r="M7" s="98"/>
      <c r="N7" s="98"/>
      <c r="O7" s="98"/>
      <c r="P7" s="98"/>
      <c r="Q7" s="98"/>
      <c r="R7" s="98"/>
    </row>
    <row r="8" spans="2:18" x14ac:dyDescent="0.2">
      <c r="B8" s="1" t="s">
        <v>3</v>
      </c>
      <c r="C8" s="1">
        <v>20719</v>
      </c>
      <c r="D8" s="1">
        <v>29749</v>
      </c>
      <c r="E8" s="1">
        <v>16741</v>
      </c>
      <c r="F8" s="1">
        <v>19300</v>
      </c>
      <c r="G8" s="1">
        <v>14527</v>
      </c>
      <c r="K8" s="98"/>
      <c r="L8" s="98"/>
      <c r="M8" s="98"/>
      <c r="N8" s="98"/>
      <c r="O8" s="98"/>
      <c r="P8" s="98"/>
      <c r="Q8" s="98"/>
      <c r="R8" s="98"/>
    </row>
    <row r="9" spans="2:18" x14ac:dyDescent="0.2">
      <c r="B9" s="4" t="s">
        <v>19</v>
      </c>
      <c r="C9" s="5">
        <f>C8/C7</f>
        <v>0.15610002335586043</v>
      </c>
      <c r="D9" s="5">
        <f t="shared" ref="D9:G9" si="0">D8/D7</f>
        <v>0.24091185164189982</v>
      </c>
      <c r="E9" s="5">
        <f t="shared" si="0"/>
        <v>0.14719174228036858</v>
      </c>
      <c r="F9" s="5">
        <f t="shared" si="0"/>
        <v>0.16204461684424407</v>
      </c>
      <c r="G9" s="5">
        <f t="shared" si="0"/>
        <v>0.13301042877940247</v>
      </c>
      <c r="K9" s="98"/>
      <c r="L9" s="98"/>
      <c r="M9" s="98"/>
      <c r="N9" s="98"/>
      <c r="O9" s="98"/>
      <c r="P9" s="98"/>
      <c r="Q9" s="98"/>
      <c r="R9" s="98"/>
    </row>
    <row r="10" spans="2:18" x14ac:dyDescent="0.2">
      <c r="K10" s="98"/>
      <c r="L10" s="98"/>
      <c r="M10" s="98"/>
      <c r="N10" s="98"/>
      <c r="O10" s="98"/>
      <c r="P10" s="98"/>
      <c r="Q10" s="98"/>
      <c r="R10" s="98"/>
    </row>
    <row r="11" spans="2:18" x14ac:dyDescent="0.2">
      <c r="B11" s="102" t="s">
        <v>24</v>
      </c>
      <c r="C11" s="102"/>
      <c r="D11" s="102"/>
      <c r="E11" s="102"/>
      <c r="F11" s="102"/>
      <c r="G11" s="102"/>
      <c r="K11" s="98"/>
      <c r="L11" s="98"/>
      <c r="M11" s="98"/>
      <c r="N11" s="98"/>
      <c r="O11" s="98"/>
      <c r="P11" s="98"/>
      <c r="Q11" s="98"/>
      <c r="R11" s="98"/>
    </row>
    <row r="12" spans="2:18" x14ac:dyDescent="0.2">
      <c r="B12" s="1" t="s">
        <v>21</v>
      </c>
      <c r="C12" s="1">
        <v>133050</v>
      </c>
      <c r="D12" s="1">
        <v>123216</v>
      </c>
      <c r="E12" s="1">
        <v>114301</v>
      </c>
      <c r="F12" s="1">
        <v>119437</v>
      </c>
      <c r="G12" s="1">
        <v>108949</v>
      </c>
      <c r="K12" s="98"/>
      <c r="L12" s="98"/>
      <c r="M12" s="98"/>
      <c r="N12" s="98"/>
      <c r="O12" s="98"/>
      <c r="P12" s="98"/>
      <c r="Q12" s="98"/>
      <c r="R12" s="98"/>
    </row>
    <row r="13" spans="2:18" x14ac:dyDescent="0.2">
      <c r="B13" s="4" t="s">
        <v>20</v>
      </c>
      <c r="C13" s="6">
        <f>C12*(1-C9)</f>
        <v>112280.89189250277</v>
      </c>
      <c r="D13" s="6">
        <f>D12*(1-D9)</f>
        <v>93531.80528809168</v>
      </c>
      <c r="E13" s="6">
        <f>E12*(1-E9)</f>
        <v>97476.836665611598</v>
      </c>
      <c r="F13" s="6">
        <f>F12*(1-F9)</f>
        <v>100082.87709797402</v>
      </c>
      <c r="G13" s="6">
        <f>G12*(1-G9)</f>
        <v>94457.646794912871</v>
      </c>
      <c r="K13" s="98"/>
      <c r="L13" s="98"/>
      <c r="M13" s="98"/>
      <c r="N13" s="98"/>
      <c r="O13" s="98"/>
      <c r="P13" s="98"/>
      <c r="Q13" s="98"/>
      <c r="R13" s="98"/>
    </row>
    <row r="14" spans="2:18" x14ac:dyDescent="0.2">
      <c r="K14" s="98"/>
      <c r="L14" s="98"/>
      <c r="M14" s="98"/>
      <c r="N14" s="98"/>
      <c r="O14" s="98"/>
      <c r="P14" s="98"/>
      <c r="Q14" s="98"/>
      <c r="R14" s="98"/>
    </row>
    <row r="15" spans="2:18" x14ac:dyDescent="0.2">
      <c r="B15" s="102" t="s">
        <v>25</v>
      </c>
      <c r="C15" s="102"/>
      <c r="D15" s="102"/>
      <c r="E15" s="102"/>
      <c r="F15" s="102"/>
      <c r="G15" s="102"/>
      <c r="K15" s="98"/>
      <c r="L15" s="98"/>
      <c r="M15" s="98"/>
      <c r="N15" s="98"/>
      <c r="O15" s="98"/>
      <c r="P15" s="98"/>
      <c r="Q15" s="98"/>
      <c r="R15" s="98"/>
    </row>
    <row r="16" spans="2:18" x14ac:dyDescent="0.2">
      <c r="B16" s="1" t="s">
        <v>6</v>
      </c>
      <c r="C16" s="1">
        <v>147957</v>
      </c>
      <c r="D16" s="1">
        <v>152987</v>
      </c>
      <c r="E16" s="1">
        <v>143566</v>
      </c>
      <c r="F16" s="1">
        <v>135405</v>
      </c>
      <c r="G16" s="1">
        <v>134836</v>
      </c>
      <c r="K16" s="98"/>
      <c r="L16" s="98"/>
      <c r="M16" s="98"/>
      <c r="N16" s="98"/>
      <c r="O16" s="98"/>
      <c r="P16" s="98"/>
      <c r="Q16" s="98"/>
      <c r="R16" s="98"/>
    </row>
    <row r="17" spans="2:18" x14ac:dyDescent="0.2">
      <c r="B17" s="1" t="s">
        <v>7</v>
      </c>
      <c r="C17" s="2">
        <v>165631</v>
      </c>
      <c r="D17" s="2">
        <v>176392</v>
      </c>
      <c r="E17" s="2">
        <v>145308</v>
      </c>
      <c r="F17" s="2">
        <v>153982</v>
      </c>
      <c r="G17" s="2">
        <v>125481</v>
      </c>
      <c r="K17" s="98"/>
      <c r="L17" s="98"/>
      <c r="M17" s="98"/>
      <c r="N17" s="98"/>
      <c r="O17" s="98"/>
      <c r="P17" s="98"/>
      <c r="Q17" s="98"/>
      <c r="R17" s="98"/>
    </row>
    <row r="18" spans="2:18" x14ac:dyDescent="0.2">
      <c r="B18" s="4" t="s">
        <v>22</v>
      </c>
      <c r="C18" s="7">
        <f>C16-C17</f>
        <v>-17674</v>
      </c>
      <c r="D18" s="7">
        <f t="shared" ref="D18:G18" si="1">D16-D17</f>
        <v>-23405</v>
      </c>
      <c r="E18" s="7">
        <f t="shared" si="1"/>
        <v>-1742</v>
      </c>
      <c r="F18" s="7">
        <f t="shared" si="1"/>
        <v>-18577</v>
      </c>
      <c r="G18" s="7">
        <f t="shared" si="1"/>
        <v>9355</v>
      </c>
      <c r="K18" s="98"/>
      <c r="L18" s="98"/>
      <c r="M18" s="98"/>
      <c r="N18" s="98"/>
      <c r="O18" s="98"/>
      <c r="P18" s="98"/>
      <c r="Q18" s="98"/>
      <c r="R18" s="98"/>
    </row>
    <row r="19" spans="2:18" x14ac:dyDescent="0.2">
      <c r="B19" s="4" t="s">
        <v>26</v>
      </c>
      <c r="C19" s="7">
        <f>C18-(D18)</f>
        <v>5731</v>
      </c>
      <c r="D19" s="7">
        <f t="shared" ref="D19:E19" si="2">D18-(E18)</f>
        <v>-21663</v>
      </c>
      <c r="E19" s="7">
        <f t="shared" si="2"/>
        <v>16835</v>
      </c>
      <c r="F19" s="7">
        <f>F18-(G18)</f>
        <v>-27932</v>
      </c>
      <c r="G19" s="4"/>
      <c r="K19" s="98"/>
      <c r="L19" s="98"/>
      <c r="M19" s="98"/>
      <c r="N19" s="98"/>
      <c r="O19" s="98"/>
      <c r="P19" s="98"/>
      <c r="Q19" s="98"/>
      <c r="R19" s="98"/>
    </row>
    <row r="20" spans="2:18" x14ac:dyDescent="0.2">
      <c r="K20" s="98"/>
      <c r="L20" s="98"/>
      <c r="M20" s="98"/>
      <c r="N20" s="98"/>
      <c r="O20" s="98"/>
      <c r="P20" s="98"/>
      <c r="Q20" s="98"/>
      <c r="R20" s="98"/>
    </row>
    <row r="21" spans="2:18" x14ac:dyDescent="0.2">
      <c r="B21" s="97" t="s">
        <v>27</v>
      </c>
      <c r="C21" s="97"/>
      <c r="D21" s="97"/>
      <c r="E21" s="97"/>
      <c r="F21" s="97"/>
      <c r="G21" s="97"/>
      <c r="K21" s="98"/>
      <c r="L21" s="98"/>
      <c r="M21" s="98"/>
      <c r="N21" s="98"/>
      <c r="O21" s="98"/>
      <c r="P21" s="98"/>
      <c r="Q21" s="98"/>
      <c r="R21" s="98"/>
    </row>
    <row r="22" spans="2:18" x14ac:dyDescent="0.2">
      <c r="B22" s="1" t="s">
        <v>4</v>
      </c>
      <c r="C22" s="1">
        <v>11698</v>
      </c>
      <c r="D22" s="1">
        <v>11445</v>
      </c>
      <c r="E22" s="1">
        <v>11519</v>
      </c>
      <c r="F22" s="2">
        <v>11104</v>
      </c>
      <c r="G22" s="1">
        <v>11284</v>
      </c>
      <c r="K22" s="98"/>
      <c r="L22" s="98"/>
      <c r="M22" s="98"/>
      <c r="N22" s="98"/>
      <c r="O22" s="98"/>
      <c r="P22" s="98"/>
      <c r="Q22" s="98"/>
      <c r="R22" s="98"/>
    </row>
    <row r="23" spans="2:18" x14ac:dyDescent="0.2">
      <c r="B23" s="1" t="s">
        <v>5</v>
      </c>
      <c r="C23" s="1">
        <v>-12715</v>
      </c>
      <c r="D23" s="1">
        <v>-9447</v>
      </c>
      <c r="E23" s="1">
        <v>-10959</v>
      </c>
      <c r="F23" s="1">
        <v>-10708</v>
      </c>
      <c r="G23" s="1">
        <v>-11085</v>
      </c>
      <c r="K23" s="98"/>
      <c r="L23" s="98"/>
      <c r="M23" s="98"/>
      <c r="N23" s="98"/>
      <c r="O23" s="98"/>
      <c r="P23" s="98"/>
      <c r="Q23" s="98"/>
      <c r="R23" s="98"/>
    </row>
    <row r="24" spans="2:18" x14ac:dyDescent="0.2">
      <c r="B24" s="4" t="s">
        <v>28</v>
      </c>
      <c r="C24" s="9">
        <f>C13+C22+(C23)-(C19)</f>
        <v>105532.89189250277</v>
      </c>
      <c r="D24" s="9">
        <f t="shared" ref="D24:F24" si="3">D13+D22+(D23)-(D19)</f>
        <v>117192.80528809168</v>
      </c>
      <c r="E24" s="9">
        <f t="shared" si="3"/>
        <v>81201.836665611598</v>
      </c>
      <c r="F24" s="9">
        <f t="shared" si="3"/>
        <v>128410.87709797402</v>
      </c>
      <c r="G24" s="4"/>
      <c r="K24" s="98"/>
      <c r="L24" s="98"/>
      <c r="M24" s="98"/>
      <c r="N24" s="98"/>
      <c r="O24" s="98"/>
      <c r="P24" s="98"/>
      <c r="Q24" s="98"/>
      <c r="R24" s="98"/>
    </row>
    <row r="25" spans="2:18" x14ac:dyDescent="0.2">
      <c r="K25" s="98"/>
      <c r="L25" s="98"/>
      <c r="M25" s="98"/>
      <c r="N25" s="98"/>
      <c r="O25" s="98"/>
      <c r="P25" s="98"/>
      <c r="Q25" s="98"/>
      <c r="R25" s="98"/>
    </row>
    <row r="26" spans="2:18" x14ac:dyDescent="0.2">
      <c r="B26" s="97" t="s">
        <v>176</v>
      </c>
      <c r="C26" s="97"/>
      <c r="D26" s="97"/>
      <c r="E26" s="97"/>
      <c r="F26" s="97"/>
      <c r="G26" s="97"/>
      <c r="H26" s="97"/>
      <c r="I26" s="97"/>
      <c r="K26" s="98"/>
      <c r="L26" s="98"/>
      <c r="M26" s="98"/>
      <c r="N26" s="98"/>
      <c r="O26" s="98"/>
      <c r="P26" s="98"/>
      <c r="Q26" s="98"/>
      <c r="R26" s="98"/>
    </row>
    <row r="27" spans="2:18" ht="16" customHeight="1" x14ac:dyDescent="0.2">
      <c r="B27" s="104" t="s">
        <v>178</v>
      </c>
      <c r="C27" s="105"/>
      <c r="D27" s="105"/>
      <c r="E27" s="105"/>
      <c r="F27" s="105"/>
      <c r="G27" s="105"/>
      <c r="H27" s="105"/>
      <c r="I27" s="106"/>
      <c r="K27" s="98"/>
      <c r="L27" s="98"/>
      <c r="M27" s="98"/>
      <c r="N27" s="98"/>
      <c r="O27" s="98"/>
      <c r="P27" s="98"/>
      <c r="Q27" s="98"/>
      <c r="R27" s="98"/>
    </row>
    <row r="28" spans="2:18" x14ac:dyDescent="0.2">
      <c r="B28" s="107"/>
      <c r="C28" s="108"/>
      <c r="D28" s="108"/>
      <c r="E28" s="108"/>
      <c r="F28" s="108"/>
      <c r="G28" s="108"/>
      <c r="H28" s="108"/>
      <c r="I28" s="109"/>
      <c r="K28" s="98"/>
      <c r="L28" s="98"/>
      <c r="M28" s="98"/>
      <c r="N28" s="98"/>
      <c r="O28" s="98"/>
      <c r="P28" s="98"/>
      <c r="Q28" s="98"/>
      <c r="R28" s="98"/>
    </row>
    <row r="29" spans="2:18" x14ac:dyDescent="0.2">
      <c r="B29" s="107"/>
      <c r="C29" s="108"/>
      <c r="D29" s="108"/>
      <c r="E29" s="108"/>
      <c r="F29" s="108"/>
      <c r="G29" s="108"/>
      <c r="H29" s="108"/>
      <c r="I29" s="109"/>
      <c r="K29" s="98"/>
      <c r="L29" s="98"/>
      <c r="M29" s="98"/>
      <c r="N29" s="98"/>
      <c r="O29" s="98"/>
      <c r="P29" s="98"/>
      <c r="Q29" s="98"/>
      <c r="R29" s="98"/>
    </row>
    <row r="30" spans="2:18" x14ac:dyDescent="0.2">
      <c r="B30" s="107"/>
      <c r="C30" s="108"/>
      <c r="D30" s="108"/>
      <c r="E30" s="108"/>
      <c r="F30" s="108"/>
      <c r="G30" s="108"/>
      <c r="H30" s="108"/>
      <c r="I30" s="109"/>
      <c r="K30" s="98"/>
      <c r="L30" s="98"/>
      <c r="M30" s="98"/>
      <c r="N30" s="98"/>
      <c r="O30" s="98"/>
      <c r="P30" s="98"/>
      <c r="Q30" s="98"/>
      <c r="R30" s="98"/>
    </row>
    <row r="31" spans="2:18" x14ac:dyDescent="0.2">
      <c r="B31" s="107"/>
      <c r="C31" s="108"/>
      <c r="D31" s="108"/>
      <c r="E31" s="108"/>
      <c r="F31" s="108"/>
      <c r="G31" s="108"/>
      <c r="H31" s="108"/>
      <c r="I31" s="109"/>
      <c r="K31" s="98"/>
      <c r="L31" s="98"/>
      <c r="M31" s="98"/>
      <c r="N31" s="98"/>
      <c r="O31" s="98"/>
      <c r="P31" s="98"/>
      <c r="Q31" s="98"/>
      <c r="R31" s="98"/>
    </row>
    <row r="32" spans="2:18" x14ac:dyDescent="0.2">
      <c r="B32" s="107"/>
      <c r="C32" s="108"/>
      <c r="D32" s="108"/>
      <c r="E32" s="108"/>
      <c r="F32" s="108"/>
      <c r="G32" s="108"/>
      <c r="H32" s="108"/>
      <c r="I32" s="109"/>
      <c r="K32" s="98"/>
      <c r="L32" s="98"/>
      <c r="M32" s="98"/>
      <c r="N32" s="98"/>
      <c r="O32" s="98"/>
      <c r="P32" s="98"/>
      <c r="Q32" s="98"/>
      <c r="R32" s="98"/>
    </row>
    <row r="33" spans="2:18" x14ac:dyDescent="0.2">
      <c r="B33" s="110"/>
      <c r="C33" s="111"/>
      <c r="D33" s="111"/>
      <c r="E33" s="111"/>
      <c r="F33" s="111"/>
      <c r="G33" s="111"/>
      <c r="H33" s="111"/>
      <c r="I33" s="112"/>
      <c r="K33" s="98"/>
      <c r="L33" s="98"/>
      <c r="M33" s="98"/>
      <c r="N33" s="98"/>
      <c r="O33" s="98"/>
      <c r="P33" s="98"/>
      <c r="Q33" s="98"/>
      <c r="R33" s="98"/>
    </row>
    <row r="34" spans="2:18" x14ac:dyDescent="0.2">
      <c r="K34" s="98"/>
      <c r="L34" s="98"/>
      <c r="M34" s="98"/>
      <c r="N34" s="98"/>
      <c r="O34" s="98"/>
      <c r="P34" s="98"/>
      <c r="Q34" s="98"/>
      <c r="R34" s="98"/>
    </row>
    <row r="35" spans="2:18" x14ac:dyDescent="0.2">
      <c r="K35" s="98"/>
      <c r="L35" s="98"/>
      <c r="M35" s="98"/>
      <c r="N35" s="98"/>
      <c r="O35" s="98"/>
      <c r="P35" s="98"/>
      <c r="Q35" s="98"/>
      <c r="R35" s="98"/>
    </row>
    <row r="36" spans="2:18" x14ac:dyDescent="0.2">
      <c r="K36" s="98"/>
      <c r="L36" s="98"/>
      <c r="M36" s="98"/>
      <c r="N36" s="98"/>
      <c r="O36" s="98"/>
      <c r="P36" s="98"/>
      <c r="Q36" s="98"/>
      <c r="R36" s="98"/>
    </row>
    <row r="37" spans="2:18" x14ac:dyDescent="0.2">
      <c r="K37" s="98"/>
      <c r="L37" s="98"/>
      <c r="M37" s="98"/>
      <c r="N37" s="98"/>
      <c r="O37" s="98"/>
      <c r="P37" s="98"/>
      <c r="Q37" s="98"/>
      <c r="R37" s="98"/>
    </row>
    <row r="38" spans="2:18" x14ac:dyDescent="0.2">
      <c r="K38" s="98"/>
      <c r="L38" s="98"/>
      <c r="M38" s="98"/>
      <c r="N38" s="98"/>
      <c r="O38" s="98"/>
      <c r="P38" s="98"/>
      <c r="Q38" s="98"/>
      <c r="R38" s="98"/>
    </row>
    <row r="39" spans="2:18" x14ac:dyDescent="0.2">
      <c r="K39" s="98"/>
      <c r="L39" s="98"/>
      <c r="M39" s="98"/>
      <c r="N39" s="98"/>
      <c r="O39" s="98"/>
      <c r="P39" s="98"/>
      <c r="Q39" s="98"/>
      <c r="R39" s="98"/>
    </row>
    <row r="40" spans="2:18" x14ac:dyDescent="0.2">
      <c r="K40" s="98"/>
      <c r="L40" s="98"/>
      <c r="M40" s="98"/>
      <c r="N40" s="98"/>
      <c r="O40" s="98"/>
      <c r="P40" s="98"/>
      <c r="Q40" s="98"/>
      <c r="R40" s="98"/>
    </row>
    <row r="41" spans="2:18" x14ac:dyDescent="0.2">
      <c r="K41" s="98"/>
      <c r="L41" s="98"/>
      <c r="M41" s="98"/>
      <c r="N41" s="98"/>
      <c r="O41" s="98"/>
      <c r="P41" s="98"/>
      <c r="Q41" s="98"/>
      <c r="R41" s="98"/>
    </row>
    <row r="42" spans="2:18" x14ac:dyDescent="0.2">
      <c r="K42" s="98"/>
      <c r="L42" s="98"/>
      <c r="M42" s="98"/>
      <c r="N42" s="98"/>
      <c r="O42" s="98"/>
      <c r="P42" s="98"/>
      <c r="Q42" s="98"/>
      <c r="R42" s="98"/>
    </row>
    <row r="43" spans="2:18" x14ac:dyDescent="0.2">
      <c r="K43" s="98"/>
      <c r="L43" s="98"/>
      <c r="M43" s="98"/>
      <c r="N43" s="98"/>
      <c r="O43" s="98"/>
      <c r="P43" s="98"/>
      <c r="Q43" s="98"/>
      <c r="R43" s="98"/>
    </row>
    <row r="44" spans="2:18" x14ac:dyDescent="0.2">
      <c r="K44" s="98"/>
      <c r="L44" s="98"/>
      <c r="M44" s="98"/>
      <c r="N44" s="98"/>
      <c r="O44" s="98"/>
      <c r="P44" s="98"/>
      <c r="Q44" s="98"/>
      <c r="R44" s="98"/>
    </row>
  </sheetData>
  <mergeCells count="9">
    <mergeCell ref="B2:G2"/>
    <mergeCell ref="B26:I26"/>
    <mergeCell ref="B27:I33"/>
    <mergeCell ref="K4:R4"/>
    <mergeCell ref="K5:R44"/>
    <mergeCell ref="B6:G6"/>
    <mergeCell ref="B11:G11"/>
    <mergeCell ref="B15:G15"/>
    <mergeCell ref="B21:G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BF03C-5915-9F4A-83EE-CC2E155E403B}">
  <dimension ref="B2:L55"/>
  <sheetViews>
    <sheetView showGridLines="0" topLeftCell="A10" zoomScale="83" workbookViewId="0">
      <selection activeCell="M25" sqref="M25"/>
    </sheetView>
  </sheetViews>
  <sheetFormatPr baseColWidth="10" defaultRowHeight="16" x14ac:dyDescent="0.2"/>
  <cols>
    <col min="2" max="2" width="27.33203125" bestFit="1" customWidth="1"/>
    <col min="3" max="3" width="14.5" customWidth="1"/>
  </cols>
  <sheetData>
    <row r="2" spans="2:12" x14ac:dyDescent="0.2">
      <c r="B2" s="99" t="s">
        <v>170</v>
      </c>
      <c r="C2" s="99"/>
      <c r="D2" s="99"/>
      <c r="E2" s="99"/>
      <c r="F2" s="99"/>
      <c r="G2" s="99"/>
      <c r="H2" s="99"/>
      <c r="I2" s="99"/>
      <c r="J2" s="99"/>
      <c r="K2" s="99"/>
      <c r="L2" s="99"/>
    </row>
    <row r="4" spans="2:12" x14ac:dyDescent="0.2">
      <c r="B4" s="97" t="s">
        <v>55</v>
      </c>
      <c r="C4" s="97"/>
      <c r="E4" s="97" t="s">
        <v>176</v>
      </c>
      <c r="F4" s="97"/>
      <c r="G4" s="97"/>
      <c r="H4" s="97"/>
      <c r="I4" s="97"/>
      <c r="J4" s="97"/>
      <c r="K4" s="97"/>
      <c r="L4" s="97"/>
    </row>
    <row r="5" spans="2:12" ht="16" customHeight="1" x14ac:dyDescent="0.2">
      <c r="B5" s="1" t="s">
        <v>50</v>
      </c>
      <c r="C5" s="23">
        <v>4.2000000000000003E-2</v>
      </c>
      <c r="E5" s="101" t="s">
        <v>181</v>
      </c>
      <c r="F5" s="101"/>
      <c r="G5" s="101"/>
      <c r="H5" s="101"/>
      <c r="I5" s="101"/>
      <c r="J5" s="101"/>
      <c r="K5" s="101"/>
      <c r="L5" s="101"/>
    </row>
    <row r="6" spans="2:12" x14ac:dyDescent="0.2">
      <c r="B6" s="1" t="s">
        <v>51</v>
      </c>
      <c r="C6" s="1">
        <v>1.1200000000000001</v>
      </c>
      <c r="E6" s="101"/>
      <c r="F6" s="101"/>
      <c r="G6" s="101"/>
      <c r="H6" s="101"/>
      <c r="I6" s="101"/>
      <c r="J6" s="101"/>
      <c r="K6" s="101"/>
      <c r="L6" s="101"/>
    </row>
    <row r="7" spans="2:12" x14ac:dyDescent="0.2">
      <c r="B7" s="1" t="s">
        <v>52</v>
      </c>
      <c r="C7" s="23">
        <v>5.5E-2</v>
      </c>
      <c r="E7" s="101"/>
      <c r="F7" s="101"/>
      <c r="G7" s="101"/>
      <c r="H7" s="101"/>
      <c r="I7" s="101"/>
      <c r="J7" s="101"/>
      <c r="K7" s="101"/>
      <c r="L7" s="101"/>
    </row>
    <row r="8" spans="2:12" x14ac:dyDescent="0.2">
      <c r="B8" s="1" t="s">
        <v>53</v>
      </c>
      <c r="C8" s="2">
        <f>'AAPL Financial Data'!C28</f>
        <v>3670000</v>
      </c>
      <c r="E8" s="101"/>
      <c r="F8" s="101"/>
      <c r="G8" s="101"/>
      <c r="H8" s="101"/>
      <c r="I8" s="101"/>
      <c r="J8" s="101"/>
      <c r="K8" s="101"/>
      <c r="L8" s="101"/>
    </row>
    <row r="9" spans="2:12" x14ac:dyDescent="0.2">
      <c r="B9" s="1" t="s">
        <v>54</v>
      </c>
      <c r="C9" s="2">
        <f>'AAPL Financial Data'!C22</f>
        <v>98657</v>
      </c>
      <c r="E9" s="101"/>
      <c r="F9" s="101"/>
      <c r="G9" s="101"/>
      <c r="H9" s="101"/>
      <c r="I9" s="101"/>
      <c r="J9" s="101"/>
      <c r="K9" s="101"/>
      <c r="L9" s="101"/>
    </row>
    <row r="10" spans="2:12" x14ac:dyDescent="0.2">
      <c r="E10" s="101"/>
      <c r="F10" s="101"/>
      <c r="G10" s="101"/>
      <c r="H10" s="101"/>
      <c r="I10" s="101"/>
      <c r="J10" s="101"/>
      <c r="K10" s="101"/>
      <c r="L10" s="101"/>
    </row>
    <row r="11" spans="2:12" ht="16" customHeight="1" x14ac:dyDescent="0.2">
      <c r="B11" s="24" t="s">
        <v>56</v>
      </c>
      <c r="C11" s="25">
        <v>0.04</v>
      </c>
      <c r="E11" s="101"/>
      <c r="F11" s="101"/>
      <c r="G11" s="101"/>
      <c r="H11" s="101"/>
      <c r="I11" s="101"/>
      <c r="J11" s="101"/>
      <c r="K11" s="101"/>
      <c r="L11" s="101"/>
    </row>
    <row r="12" spans="2:12" x14ac:dyDescent="0.2">
      <c r="B12" s="5" t="s">
        <v>58</v>
      </c>
      <c r="C12" s="5">
        <f>C9/(C8+C9)</f>
        <v>2.6178291099455322E-2</v>
      </c>
      <c r="E12" s="101"/>
      <c r="F12" s="101"/>
      <c r="G12" s="101"/>
      <c r="H12" s="101"/>
      <c r="I12" s="101"/>
      <c r="J12" s="101"/>
      <c r="K12" s="101"/>
      <c r="L12" s="101"/>
    </row>
    <row r="13" spans="2:12" x14ac:dyDescent="0.2">
      <c r="E13" s="101"/>
      <c r="F13" s="101"/>
      <c r="G13" s="101"/>
      <c r="H13" s="101"/>
      <c r="I13" s="101"/>
      <c r="J13" s="101"/>
      <c r="K13" s="101"/>
      <c r="L13" s="101"/>
    </row>
    <row r="14" spans="2:12" x14ac:dyDescent="0.2">
      <c r="B14" s="1" t="s">
        <v>50</v>
      </c>
      <c r="C14" s="23">
        <v>4.2000000000000003E-2</v>
      </c>
      <c r="E14" s="26"/>
      <c r="F14" s="26"/>
      <c r="G14" s="26"/>
      <c r="H14" s="26"/>
      <c r="I14" s="26"/>
      <c r="J14" s="26"/>
      <c r="K14" s="26"/>
      <c r="L14" s="26"/>
    </row>
    <row r="15" spans="2:12" x14ac:dyDescent="0.2">
      <c r="B15" s="1" t="s">
        <v>51</v>
      </c>
      <c r="C15" s="1">
        <v>1.1200000000000001</v>
      </c>
      <c r="E15" s="26"/>
      <c r="F15" s="26"/>
      <c r="G15" s="26"/>
      <c r="H15" s="26"/>
      <c r="I15" s="26"/>
      <c r="J15" s="26"/>
      <c r="K15" s="26"/>
      <c r="L15" s="26"/>
    </row>
    <row r="16" spans="2:12" x14ac:dyDescent="0.2">
      <c r="B16" s="1" t="s">
        <v>52</v>
      </c>
      <c r="C16" s="23">
        <v>5.5E-2</v>
      </c>
      <c r="E16" s="26"/>
      <c r="F16" s="26"/>
      <c r="G16" s="26"/>
      <c r="H16" s="26"/>
      <c r="I16" s="26"/>
      <c r="J16" s="26"/>
      <c r="K16" s="26"/>
      <c r="L16" s="26"/>
    </row>
    <row r="17" spans="2:10" x14ac:dyDescent="0.2">
      <c r="B17" s="4" t="s">
        <v>60</v>
      </c>
      <c r="C17" s="27">
        <f>C14+C15*(C16)</f>
        <v>0.10360000000000001</v>
      </c>
    </row>
    <row r="18" spans="2:10" x14ac:dyDescent="0.2">
      <c r="B18" s="4" t="s">
        <v>59</v>
      </c>
      <c r="C18" s="5">
        <f>C8/(C8+C9)</f>
        <v>0.97382170890054465</v>
      </c>
    </row>
    <row r="19" spans="2:10" x14ac:dyDescent="0.2">
      <c r="E19" s="26"/>
      <c r="F19" s="26"/>
      <c r="G19" s="26"/>
      <c r="H19" s="26"/>
      <c r="I19" s="26"/>
      <c r="J19" s="26"/>
    </row>
    <row r="20" spans="2:10" x14ac:dyDescent="0.2">
      <c r="B20" s="1" t="s">
        <v>63</v>
      </c>
      <c r="C20" s="17">
        <v>0.16</v>
      </c>
      <c r="E20" s="26"/>
      <c r="F20" s="26"/>
      <c r="G20" s="26"/>
      <c r="H20" s="26"/>
      <c r="I20" s="26"/>
      <c r="J20" s="26"/>
    </row>
    <row r="22" spans="2:10" x14ac:dyDescent="0.2">
      <c r="B22" s="28" t="s">
        <v>62</v>
      </c>
      <c r="C22" s="29">
        <f>(C17*C18)+(C11*C12*(1-C20))</f>
        <v>0.10176751962303814</v>
      </c>
    </row>
    <row r="25" spans="2:10" x14ac:dyDescent="0.2">
      <c r="B25" s="100" t="s">
        <v>174</v>
      </c>
      <c r="C25" s="100"/>
      <c r="D25" s="100"/>
      <c r="E25" s="100"/>
      <c r="F25" s="100"/>
      <c r="G25" s="100"/>
      <c r="H25" s="100"/>
      <c r="I25" s="100"/>
    </row>
    <row r="26" spans="2:10" ht="16" customHeight="1" x14ac:dyDescent="0.2">
      <c r="B26" s="98" t="s">
        <v>180</v>
      </c>
      <c r="C26" s="98"/>
      <c r="D26" s="98"/>
      <c r="E26" s="98"/>
      <c r="F26" s="98"/>
      <c r="G26" s="98"/>
      <c r="H26" s="98"/>
      <c r="I26" s="98"/>
    </row>
    <row r="27" spans="2:10" x14ac:dyDescent="0.2">
      <c r="B27" s="98"/>
      <c r="C27" s="98"/>
      <c r="D27" s="98"/>
      <c r="E27" s="98"/>
      <c r="F27" s="98"/>
      <c r="G27" s="98"/>
      <c r="H27" s="98"/>
      <c r="I27" s="98"/>
    </row>
    <row r="28" spans="2:10" x14ac:dyDescent="0.2">
      <c r="B28" s="98"/>
      <c r="C28" s="98"/>
      <c r="D28" s="98"/>
      <c r="E28" s="98"/>
      <c r="F28" s="98"/>
      <c r="G28" s="98"/>
      <c r="H28" s="98"/>
      <c r="I28" s="98"/>
    </row>
    <row r="29" spans="2:10" x14ac:dyDescent="0.2">
      <c r="B29" s="98"/>
      <c r="C29" s="98"/>
      <c r="D29" s="98"/>
      <c r="E29" s="98"/>
      <c r="F29" s="98"/>
      <c r="G29" s="98"/>
      <c r="H29" s="98"/>
      <c r="I29" s="98"/>
    </row>
    <row r="30" spans="2:10" x14ac:dyDescent="0.2">
      <c r="B30" s="98"/>
      <c r="C30" s="98"/>
      <c r="D30" s="98"/>
      <c r="E30" s="98"/>
      <c r="F30" s="98"/>
      <c r="G30" s="98"/>
      <c r="H30" s="98"/>
      <c r="I30" s="98"/>
    </row>
    <row r="31" spans="2:10" x14ac:dyDescent="0.2">
      <c r="B31" s="98"/>
      <c r="C31" s="98"/>
      <c r="D31" s="98"/>
      <c r="E31" s="98"/>
      <c r="F31" s="98"/>
      <c r="G31" s="98"/>
      <c r="H31" s="98"/>
      <c r="I31" s="98"/>
    </row>
    <row r="32" spans="2:10" x14ac:dyDescent="0.2">
      <c r="B32" s="98"/>
      <c r="C32" s="98"/>
      <c r="D32" s="98"/>
      <c r="E32" s="98"/>
      <c r="F32" s="98"/>
      <c r="G32" s="98"/>
      <c r="H32" s="98"/>
      <c r="I32" s="98"/>
    </row>
    <row r="33" spans="2:12" x14ac:dyDescent="0.2">
      <c r="B33" s="98"/>
      <c r="C33" s="98"/>
      <c r="D33" s="98"/>
      <c r="E33" s="98"/>
      <c r="F33" s="98"/>
      <c r="G33" s="98"/>
      <c r="H33" s="98"/>
      <c r="I33" s="98"/>
    </row>
    <row r="34" spans="2:12" x14ac:dyDescent="0.2">
      <c r="B34" s="98"/>
      <c r="C34" s="98"/>
      <c r="D34" s="98"/>
      <c r="E34" s="98"/>
      <c r="F34" s="98"/>
      <c r="G34" s="98"/>
      <c r="H34" s="98"/>
      <c r="I34" s="98"/>
    </row>
    <row r="35" spans="2:12" x14ac:dyDescent="0.2">
      <c r="B35" s="98"/>
      <c r="C35" s="98"/>
      <c r="D35" s="98"/>
      <c r="E35" s="98"/>
      <c r="F35" s="98"/>
      <c r="G35" s="98"/>
      <c r="H35" s="98"/>
      <c r="I35" s="98"/>
    </row>
    <row r="36" spans="2:12" x14ac:dyDescent="0.2">
      <c r="B36" s="98"/>
      <c r="C36" s="98"/>
      <c r="D36" s="98"/>
      <c r="E36" s="98"/>
      <c r="F36" s="98"/>
      <c r="G36" s="98"/>
      <c r="H36" s="98"/>
      <c r="I36" s="98"/>
    </row>
    <row r="37" spans="2:12" x14ac:dyDescent="0.2">
      <c r="B37" s="98"/>
      <c r="C37" s="98"/>
      <c r="D37" s="98"/>
      <c r="E37" s="98"/>
      <c r="F37" s="98"/>
      <c r="G37" s="98"/>
      <c r="H37" s="98"/>
      <c r="I37" s="98"/>
    </row>
    <row r="38" spans="2:12" x14ac:dyDescent="0.2">
      <c r="B38" s="98"/>
      <c r="C38" s="98"/>
      <c r="D38" s="98"/>
      <c r="E38" s="98"/>
      <c r="F38" s="98"/>
      <c r="G38" s="98"/>
      <c r="H38" s="98"/>
      <c r="I38" s="98"/>
    </row>
    <row r="39" spans="2:12" x14ac:dyDescent="0.2">
      <c r="B39" s="98"/>
      <c r="C39" s="98"/>
      <c r="D39" s="98"/>
      <c r="E39" s="98"/>
      <c r="F39" s="98"/>
      <c r="G39" s="98"/>
      <c r="H39" s="98"/>
      <c r="I39" s="98"/>
      <c r="L39" s="72"/>
    </row>
    <row r="40" spans="2:12" x14ac:dyDescent="0.2">
      <c r="B40" s="98"/>
      <c r="C40" s="98"/>
      <c r="D40" s="98"/>
      <c r="E40" s="98"/>
      <c r="F40" s="98"/>
      <c r="G40" s="98"/>
      <c r="H40" s="98"/>
      <c r="I40" s="98"/>
    </row>
    <row r="41" spans="2:12" x14ac:dyDescent="0.2">
      <c r="B41" s="98"/>
      <c r="C41" s="98"/>
      <c r="D41" s="98"/>
      <c r="E41" s="98"/>
      <c r="F41" s="98"/>
      <c r="G41" s="98"/>
      <c r="H41" s="98"/>
      <c r="I41" s="98"/>
    </row>
    <row r="42" spans="2:12" x14ac:dyDescent="0.2">
      <c r="B42" s="98"/>
      <c r="C42" s="98"/>
      <c r="D42" s="98"/>
      <c r="E42" s="98"/>
      <c r="F42" s="98"/>
      <c r="G42" s="98"/>
      <c r="H42" s="98"/>
      <c r="I42" s="98"/>
    </row>
    <row r="43" spans="2:12" x14ac:dyDescent="0.2">
      <c r="B43" s="98"/>
      <c r="C43" s="98"/>
      <c r="D43" s="98"/>
      <c r="E43" s="98"/>
      <c r="F43" s="98"/>
      <c r="G43" s="98"/>
      <c r="H43" s="98"/>
      <c r="I43" s="98"/>
    </row>
    <row r="44" spans="2:12" x14ac:dyDescent="0.2">
      <c r="B44" s="98"/>
      <c r="C44" s="98"/>
      <c r="D44" s="98"/>
      <c r="E44" s="98"/>
      <c r="F44" s="98"/>
      <c r="G44" s="98"/>
      <c r="H44" s="98"/>
      <c r="I44" s="98"/>
    </row>
    <row r="47" spans="2:12" x14ac:dyDescent="0.2">
      <c r="B47" s="1" t="s">
        <v>61</v>
      </c>
    </row>
    <row r="48" spans="2:12" x14ac:dyDescent="0.2">
      <c r="B48" s="101" t="s">
        <v>57</v>
      </c>
      <c r="C48" s="101"/>
      <c r="D48" s="101"/>
      <c r="E48" s="101"/>
      <c r="F48" s="101"/>
      <c r="G48" s="101"/>
    </row>
    <row r="49" spans="2:7" x14ac:dyDescent="0.2">
      <c r="B49" s="101"/>
      <c r="C49" s="101"/>
      <c r="D49" s="101"/>
      <c r="E49" s="101"/>
      <c r="F49" s="101"/>
      <c r="G49" s="101"/>
    </row>
    <row r="50" spans="2:7" x14ac:dyDescent="0.2">
      <c r="B50" s="101"/>
      <c r="C50" s="101"/>
      <c r="D50" s="101"/>
      <c r="E50" s="101"/>
      <c r="F50" s="101"/>
      <c r="G50" s="101"/>
    </row>
    <row r="51" spans="2:7" x14ac:dyDescent="0.2">
      <c r="B51" s="101"/>
      <c r="C51" s="101"/>
      <c r="D51" s="101"/>
      <c r="E51" s="101"/>
      <c r="F51" s="101"/>
      <c r="G51" s="101"/>
    </row>
    <row r="52" spans="2:7" x14ac:dyDescent="0.2">
      <c r="B52" s="101"/>
      <c r="C52" s="101"/>
      <c r="D52" s="101"/>
      <c r="E52" s="101"/>
      <c r="F52" s="101"/>
      <c r="G52" s="101"/>
    </row>
    <row r="53" spans="2:7" x14ac:dyDescent="0.2">
      <c r="B53" s="101"/>
      <c r="C53" s="101"/>
      <c r="D53" s="101"/>
      <c r="E53" s="101"/>
      <c r="F53" s="101"/>
      <c r="G53" s="101"/>
    </row>
    <row r="54" spans="2:7" x14ac:dyDescent="0.2">
      <c r="B54" s="101"/>
      <c r="C54" s="101"/>
      <c r="D54" s="101"/>
      <c r="E54" s="101"/>
      <c r="F54" s="101"/>
      <c r="G54" s="101"/>
    </row>
    <row r="55" spans="2:7" x14ac:dyDescent="0.2">
      <c r="B55" s="101"/>
      <c r="C55" s="101"/>
      <c r="D55" s="101"/>
      <c r="E55" s="101"/>
      <c r="F55" s="101"/>
      <c r="G55" s="101"/>
    </row>
  </sheetData>
  <mergeCells count="7">
    <mergeCell ref="B48:G55"/>
    <mergeCell ref="B25:I25"/>
    <mergeCell ref="B26:I44"/>
    <mergeCell ref="E5:L13"/>
    <mergeCell ref="E4:L4"/>
    <mergeCell ref="B2:L2"/>
    <mergeCell ref="B4:C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FC45F-3B05-3841-81B8-D910FF9EFDEE}">
  <dimension ref="B2:W49"/>
  <sheetViews>
    <sheetView showGridLines="0" topLeftCell="A12" zoomScale="92" workbookViewId="0">
      <selection activeCell="L50" sqref="L50"/>
    </sheetView>
  </sheetViews>
  <sheetFormatPr baseColWidth="10" defaultRowHeight="16" x14ac:dyDescent="0.2"/>
  <cols>
    <col min="2" max="2" width="26.1640625" bestFit="1" customWidth="1"/>
    <col min="3" max="3" width="12.6640625" customWidth="1"/>
    <col min="4" max="4" width="12.1640625" bestFit="1" customWidth="1"/>
    <col min="11" max="11" width="17.33203125" bestFit="1" customWidth="1"/>
    <col min="12" max="12" width="19.83203125" bestFit="1" customWidth="1"/>
    <col min="13" max="13" width="16.33203125" bestFit="1" customWidth="1"/>
  </cols>
  <sheetData>
    <row r="2" spans="2:23" x14ac:dyDescent="0.2">
      <c r="B2" s="114" t="s">
        <v>167</v>
      </c>
      <c r="C2" s="115"/>
      <c r="D2" s="115"/>
      <c r="E2" s="115"/>
      <c r="F2" s="115"/>
      <c r="G2" s="115"/>
      <c r="H2" s="115"/>
      <c r="I2" s="115"/>
      <c r="J2" s="115"/>
      <c r="K2" s="115"/>
      <c r="L2" s="115"/>
      <c r="M2" s="115"/>
      <c r="N2" s="115"/>
      <c r="O2" s="115"/>
      <c r="P2" s="115"/>
      <c r="Q2" s="115"/>
      <c r="R2" s="115"/>
      <c r="S2" s="115"/>
      <c r="T2" s="115"/>
      <c r="U2" s="115"/>
      <c r="V2" s="115"/>
      <c r="W2" s="115"/>
    </row>
    <row r="4" spans="2:23" x14ac:dyDescent="0.2">
      <c r="B4" s="97" t="s">
        <v>83</v>
      </c>
      <c r="C4" s="97"/>
      <c r="D4" s="97"/>
      <c r="E4" s="97"/>
      <c r="F4" s="97"/>
      <c r="G4" s="97"/>
      <c r="H4" s="97"/>
      <c r="I4" s="97"/>
      <c r="K4" s="97" t="s">
        <v>42</v>
      </c>
      <c r="L4" s="97"/>
      <c r="O4" s="113" t="s">
        <v>183</v>
      </c>
      <c r="P4" s="113"/>
      <c r="Q4" s="113"/>
      <c r="R4" s="113"/>
      <c r="S4" s="113"/>
      <c r="T4" s="113"/>
      <c r="U4" s="113"/>
      <c r="V4" s="113"/>
      <c r="W4" s="113"/>
    </row>
    <row r="5" spans="2:23" x14ac:dyDescent="0.2">
      <c r="B5" s="1"/>
      <c r="C5" s="1">
        <v>0</v>
      </c>
      <c r="D5" s="1">
        <v>1</v>
      </c>
      <c r="E5" s="1">
        <v>2</v>
      </c>
      <c r="F5" s="1">
        <v>3</v>
      </c>
      <c r="G5" s="1">
        <v>4</v>
      </c>
      <c r="H5" s="30">
        <v>5</v>
      </c>
      <c r="I5" s="36" t="s">
        <v>64</v>
      </c>
      <c r="K5" s="10" t="s">
        <v>43</v>
      </c>
      <c r="L5" s="10" t="s">
        <v>44</v>
      </c>
      <c r="O5" s="101" t="s">
        <v>182</v>
      </c>
      <c r="P5" s="101"/>
      <c r="Q5" s="101"/>
      <c r="R5" s="101"/>
      <c r="S5" s="101"/>
      <c r="T5" s="101"/>
      <c r="U5" s="101"/>
      <c r="V5" s="101"/>
      <c r="W5" s="101"/>
    </row>
    <row r="6" spans="2:23" x14ac:dyDescent="0.2">
      <c r="B6" s="15" t="s">
        <v>29</v>
      </c>
      <c r="C6" s="16" t="s">
        <v>30</v>
      </c>
      <c r="D6" s="16" t="s">
        <v>31</v>
      </c>
      <c r="E6" s="16" t="s">
        <v>32</v>
      </c>
      <c r="F6" s="16" t="s">
        <v>33</v>
      </c>
      <c r="G6" s="16" t="s">
        <v>34</v>
      </c>
      <c r="H6" s="31" t="s">
        <v>35</v>
      </c>
      <c r="I6" s="1"/>
      <c r="K6" s="11" t="s">
        <v>36</v>
      </c>
      <c r="L6" s="12">
        <v>0.05</v>
      </c>
      <c r="O6" s="101"/>
      <c r="P6" s="101"/>
      <c r="Q6" s="101"/>
      <c r="R6" s="101"/>
      <c r="S6" s="101"/>
      <c r="T6" s="101"/>
      <c r="U6" s="101"/>
      <c r="V6" s="101"/>
      <c r="W6" s="101"/>
    </row>
    <row r="7" spans="2:23" x14ac:dyDescent="0.2">
      <c r="B7" s="1" t="s">
        <v>48</v>
      </c>
      <c r="C7" s="3">
        <f>('AAPL Financial Data'!C6-'AAPL Financial Data'!D6)/'AAPL Financial Data'!D6</f>
        <v>6.4255117828327393E-2</v>
      </c>
      <c r="D7" s="17">
        <v>0.05</v>
      </c>
      <c r="E7" s="17">
        <v>0.05</v>
      </c>
      <c r="F7" s="17">
        <v>0.05</v>
      </c>
      <c r="G7" s="17">
        <v>0.05</v>
      </c>
      <c r="H7" s="32">
        <v>0.05</v>
      </c>
      <c r="I7" s="23">
        <v>2.5000000000000001E-2</v>
      </c>
      <c r="K7" s="11" t="s">
        <v>37</v>
      </c>
      <c r="L7" s="12">
        <v>0.3</v>
      </c>
      <c r="O7" s="101"/>
      <c r="P7" s="101"/>
      <c r="Q7" s="101"/>
      <c r="R7" s="101"/>
      <c r="S7" s="101"/>
      <c r="T7" s="101"/>
      <c r="U7" s="101"/>
      <c r="V7" s="101"/>
      <c r="W7" s="101"/>
    </row>
    <row r="8" spans="2:23" x14ac:dyDescent="0.2">
      <c r="B8" s="11" t="s">
        <v>0</v>
      </c>
      <c r="C8" s="18">
        <v>416161</v>
      </c>
      <c r="D8" s="19">
        <f>C8*(1+D7)</f>
        <v>436969.05000000005</v>
      </c>
      <c r="E8" s="19">
        <f>D8*(1+E7)</f>
        <v>458817.50250000006</v>
      </c>
      <c r="F8" s="19">
        <f>E8*(1+F7)</f>
        <v>481758.37762500008</v>
      </c>
      <c r="G8" s="19">
        <f>F8*(1+G7)</f>
        <v>505846.2965062501</v>
      </c>
      <c r="H8" s="33">
        <f>G8*(1+H7)</f>
        <v>531138.61133156263</v>
      </c>
      <c r="I8" s="1"/>
      <c r="K8" s="11" t="s">
        <v>38</v>
      </c>
      <c r="L8" s="12">
        <v>0.16</v>
      </c>
      <c r="O8" s="101"/>
      <c r="P8" s="101"/>
      <c r="Q8" s="101"/>
      <c r="R8" s="101"/>
      <c r="S8" s="101"/>
      <c r="T8" s="101"/>
      <c r="U8" s="101"/>
      <c r="V8" s="101"/>
      <c r="W8" s="101"/>
    </row>
    <row r="9" spans="2:23" x14ac:dyDescent="0.2">
      <c r="B9" s="11" t="s">
        <v>37</v>
      </c>
      <c r="C9" s="20">
        <f>C10/C8</f>
        <v>0.31970799762591884</v>
      </c>
      <c r="D9" s="21">
        <v>0.3</v>
      </c>
      <c r="E9" s="21">
        <v>0.3</v>
      </c>
      <c r="F9" s="21">
        <v>0.3</v>
      </c>
      <c r="G9" s="21">
        <v>0.3</v>
      </c>
      <c r="H9" s="34">
        <v>0.3</v>
      </c>
      <c r="I9" s="1"/>
      <c r="K9" s="11" t="s">
        <v>39</v>
      </c>
      <c r="L9" s="12">
        <v>0.03</v>
      </c>
      <c r="M9" s="13" t="s">
        <v>46</v>
      </c>
      <c r="O9" s="101"/>
      <c r="P9" s="101"/>
      <c r="Q9" s="101"/>
      <c r="R9" s="101"/>
      <c r="S9" s="101"/>
      <c r="T9" s="101"/>
      <c r="U9" s="101"/>
      <c r="V9" s="101"/>
      <c r="W9" s="101"/>
    </row>
    <row r="10" spans="2:23" x14ac:dyDescent="0.2">
      <c r="B10" s="11" t="s">
        <v>21</v>
      </c>
      <c r="C10" s="11">
        <f>'AAPL FCFF Calculation'!C12</f>
        <v>133050</v>
      </c>
      <c r="D10" s="19">
        <f>D8*D9</f>
        <v>131090.715</v>
      </c>
      <c r="E10" s="19">
        <f>E8*E9</f>
        <v>137645.25075000001</v>
      </c>
      <c r="F10" s="19">
        <f>F8*F9</f>
        <v>144527.51328750001</v>
      </c>
      <c r="G10" s="19">
        <f t="shared" ref="G10:H10" si="0">G8*G9</f>
        <v>151753.88895187504</v>
      </c>
      <c r="H10" s="33">
        <f t="shared" si="0"/>
        <v>159341.58339946877</v>
      </c>
      <c r="I10" s="1"/>
      <c r="K10" s="11" t="s">
        <v>40</v>
      </c>
      <c r="L10" s="12">
        <v>0.03</v>
      </c>
      <c r="M10" s="13" t="s">
        <v>46</v>
      </c>
      <c r="O10" s="101"/>
      <c r="P10" s="101"/>
      <c r="Q10" s="101"/>
      <c r="R10" s="101"/>
      <c r="S10" s="101"/>
      <c r="T10" s="101"/>
      <c r="U10" s="101"/>
      <c r="V10" s="101"/>
      <c r="W10" s="101"/>
    </row>
    <row r="11" spans="2:23" x14ac:dyDescent="0.2">
      <c r="B11" s="11" t="s">
        <v>38</v>
      </c>
      <c r="C11" s="22">
        <f>'AAPL FCFF Calculation'!C9</f>
        <v>0.15610002335586043</v>
      </c>
      <c r="D11" s="21">
        <f>L8</f>
        <v>0.16</v>
      </c>
      <c r="E11" s="21">
        <f>D11</f>
        <v>0.16</v>
      </c>
      <c r="F11" s="21">
        <f>E11</f>
        <v>0.16</v>
      </c>
      <c r="G11" s="21">
        <f>F11</f>
        <v>0.16</v>
      </c>
      <c r="H11" s="34">
        <f>G11</f>
        <v>0.16</v>
      </c>
      <c r="I11" s="1"/>
      <c r="K11" s="11" t="s">
        <v>45</v>
      </c>
      <c r="L11" s="12">
        <v>0.01</v>
      </c>
      <c r="M11" s="13" t="s">
        <v>47</v>
      </c>
      <c r="O11" s="101"/>
      <c r="P11" s="101"/>
      <c r="Q11" s="101"/>
      <c r="R11" s="101"/>
      <c r="S11" s="101"/>
      <c r="T11" s="101"/>
      <c r="U11" s="101"/>
      <c r="V11" s="101"/>
      <c r="W11" s="101"/>
    </row>
    <row r="12" spans="2:23" x14ac:dyDescent="0.2">
      <c r="B12" s="11" t="s">
        <v>20</v>
      </c>
      <c r="C12" s="19">
        <f>'AAPL FCFF Calculation'!C13</f>
        <v>112280.89189250277</v>
      </c>
      <c r="D12" s="19">
        <f>D10*(1-D11)</f>
        <v>110116.2006</v>
      </c>
      <c r="E12" s="19">
        <f>E10*(1-E11)</f>
        <v>115622.01063</v>
      </c>
      <c r="F12" s="19">
        <f t="shared" ref="F12:H12" si="1">F10*(1-F11)</f>
        <v>121403.11116150001</v>
      </c>
      <c r="G12" s="19">
        <f t="shared" si="1"/>
        <v>127473.26671957503</v>
      </c>
      <c r="H12" s="33">
        <f t="shared" si="1"/>
        <v>133846.93005555376</v>
      </c>
      <c r="I12" s="1"/>
      <c r="O12" s="101"/>
      <c r="P12" s="101"/>
      <c r="Q12" s="101"/>
      <c r="R12" s="101"/>
      <c r="S12" s="101"/>
      <c r="T12" s="101"/>
      <c r="U12" s="101"/>
      <c r="V12" s="101"/>
      <c r="W12" s="101"/>
    </row>
    <row r="13" spans="2:23" x14ac:dyDescent="0.2">
      <c r="B13" s="11" t="s">
        <v>39</v>
      </c>
      <c r="C13" s="11">
        <f>'AAPL FCFF Calculation'!C22</f>
        <v>11698</v>
      </c>
      <c r="D13" s="19">
        <f>$L$9*D8</f>
        <v>13109.0715</v>
      </c>
      <c r="E13" s="19">
        <f>$L$9*E8</f>
        <v>13764.525075000001</v>
      </c>
      <c r="F13" s="19">
        <f>$L$9*F8</f>
        <v>14452.751328750002</v>
      </c>
      <c r="G13" s="19">
        <f>$L$9*G8</f>
        <v>15175.388895187503</v>
      </c>
      <c r="H13" s="33">
        <f>$L$9*H8</f>
        <v>15934.158339946878</v>
      </c>
      <c r="I13" s="1"/>
      <c r="K13" s="37" t="s">
        <v>66</v>
      </c>
      <c r="L13" s="27">
        <f>'AAPL WACC Calculation'!C22</f>
        <v>0.10176751962303814</v>
      </c>
      <c r="O13" s="101"/>
      <c r="P13" s="101"/>
      <c r="Q13" s="101"/>
      <c r="R13" s="101"/>
      <c r="S13" s="101"/>
      <c r="T13" s="101"/>
      <c r="U13" s="101"/>
      <c r="V13" s="101"/>
      <c r="W13" s="101"/>
    </row>
    <row r="14" spans="2:23" x14ac:dyDescent="0.2">
      <c r="B14" s="11" t="s">
        <v>40</v>
      </c>
      <c r="C14" s="11">
        <v>12715</v>
      </c>
      <c r="D14" s="8">
        <f>$L$10*D8</f>
        <v>13109.0715</v>
      </c>
      <c r="E14" s="8">
        <f>$L$10*E8</f>
        <v>13764.525075000001</v>
      </c>
      <c r="F14" s="8">
        <f>$L$10*F8</f>
        <v>14452.751328750002</v>
      </c>
      <c r="G14" s="8">
        <f>$L$10*G8</f>
        <v>15175.388895187503</v>
      </c>
      <c r="H14" s="35">
        <f>$L$10*H8</f>
        <v>15934.158339946878</v>
      </c>
      <c r="I14" s="1"/>
      <c r="O14" s="101"/>
      <c r="P14" s="101"/>
      <c r="Q14" s="101"/>
      <c r="R14" s="101"/>
      <c r="S14" s="101"/>
      <c r="T14" s="101"/>
      <c r="U14" s="101"/>
      <c r="V14" s="101"/>
      <c r="W14" s="101"/>
    </row>
    <row r="15" spans="2:23" x14ac:dyDescent="0.2">
      <c r="B15" s="11" t="s">
        <v>49</v>
      </c>
      <c r="C15" s="11"/>
      <c r="D15" s="19">
        <f>D8-C8</f>
        <v>20808.050000000047</v>
      </c>
      <c r="E15" s="19">
        <f t="shared" ref="E15:G15" si="2">E8-D8</f>
        <v>21848.452500000014</v>
      </c>
      <c r="F15" s="19">
        <f t="shared" si="2"/>
        <v>22940.87512500002</v>
      </c>
      <c r="G15" s="19">
        <f t="shared" si="2"/>
        <v>24087.918881250022</v>
      </c>
      <c r="H15" s="33">
        <f>H8-G8</f>
        <v>25292.314825312525</v>
      </c>
      <c r="I15" s="1"/>
      <c r="O15" s="101"/>
      <c r="P15" s="101"/>
      <c r="Q15" s="101"/>
      <c r="R15" s="101"/>
      <c r="S15" s="101"/>
      <c r="T15" s="101"/>
      <c r="U15" s="101"/>
      <c r="V15" s="101"/>
      <c r="W15" s="101"/>
    </row>
    <row r="16" spans="2:23" x14ac:dyDescent="0.2">
      <c r="B16" s="11" t="s">
        <v>41</v>
      </c>
      <c r="C16" s="11"/>
      <c r="D16" s="19">
        <f>$L$11*D15</f>
        <v>208.08050000000048</v>
      </c>
      <c r="E16" s="19">
        <f>$L$11*E15</f>
        <v>218.48452500000013</v>
      </c>
      <c r="F16" s="19">
        <f>$L$11*F15</f>
        <v>229.40875125000022</v>
      </c>
      <c r="G16" s="19">
        <f>$L$11*G15</f>
        <v>240.87918881250022</v>
      </c>
      <c r="H16" s="33">
        <f>$L$11*H15</f>
        <v>252.92314825312525</v>
      </c>
      <c r="I16" s="1"/>
      <c r="O16" s="101"/>
      <c r="P16" s="101"/>
      <c r="Q16" s="101"/>
      <c r="R16" s="101"/>
      <c r="S16" s="101"/>
      <c r="T16" s="101"/>
      <c r="U16" s="101"/>
      <c r="V16" s="101"/>
      <c r="W16" s="101"/>
    </row>
    <row r="17" spans="2:23" x14ac:dyDescent="0.2">
      <c r="B17" s="41" t="s">
        <v>28</v>
      </c>
      <c r="C17" s="41"/>
      <c r="D17" s="42">
        <f>D12+D13-D14-D16</f>
        <v>109908.1201</v>
      </c>
      <c r="E17" s="42">
        <f t="shared" ref="E17:G17" si="3">E12+E13-E14-E16</f>
        <v>115403.526105</v>
      </c>
      <c r="F17" s="42">
        <f t="shared" si="3"/>
        <v>121173.70241025</v>
      </c>
      <c r="G17" s="42">
        <f t="shared" si="3"/>
        <v>127232.38753076254</v>
      </c>
      <c r="H17" s="43">
        <f>H12+H13-H14-H16</f>
        <v>133594.00690730065</v>
      </c>
      <c r="I17" s="44"/>
      <c r="O17" s="101"/>
      <c r="P17" s="101"/>
      <c r="Q17" s="101"/>
      <c r="R17" s="101"/>
      <c r="S17" s="101"/>
      <c r="T17" s="101"/>
      <c r="U17" s="101"/>
      <c r="V17" s="101"/>
      <c r="W17" s="101"/>
    </row>
    <row r="18" spans="2:23" x14ac:dyDescent="0.2">
      <c r="B18" s="41" t="s">
        <v>64</v>
      </c>
      <c r="C18" s="44"/>
      <c r="D18" s="44"/>
      <c r="E18" s="44"/>
      <c r="F18" s="44"/>
      <c r="G18" s="44"/>
      <c r="H18" s="44"/>
      <c r="I18" s="45">
        <f>H17*(1+I7)/('AAPL WACC Calculation'!C22-'AAPL DCF Valuation'!I7)</f>
        <v>1783747.3159532556</v>
      </c>
      <c r="O18" s="101"/>
      <c r="P18" s="101"/>
      <c r="Q18" s="101"/>
      <c r="R18" s="101"/>
      <c r="S18" s="101"/>
      <c r="T18" s="101"/>
      <c r="U18" s="101"/>
      <c r="V18" s="101"/>
      <c r="W18" s="101"/>
    </row>
    <row r="19" spans="2:23" x14ac:dyDescent="0.2">
      <c r="B19" s="46" t="s">
        <v>65</v>
      </c>
      <c r="C19" s="47"/>
      <c r="D19" s="48">
        <f>D17/(1+$L$13)^D5</f>
        <v>99756.180993250076</v>
      </c>
      <c r="E19" s="48">
        <f>E17/(1+$L$13)^E5</f>
        <v>95069.04875789948</v>
      </c>
      <c r="F19" s="48">
        <f>F17/(1+$L$13)^F5</f>
        <v>90602.145568738502</v>
      </c>
      <c r="G19" s="48">
        <f>G17/(1+$L$13)^G5</f>
        <v>86345.123769599144</v>
      </c>
      <c r="H19" s="48">
        <f>H17/(1+$L$13)^H5</f>
        <v>82288.121898073892</v>
      </c>
      <c r="I19" s="48">
        <f>SUM(D19:H19)</f>
        <v>454060.62098756107</v>
      </c>
      <c r="O19" s="101"/>
      <c r="P19" s="101"/>
      <c r="Q19" s="101"/>
      <c r="R19" s="101"/>
      <c r="S19" s="101"/>
      <c r="T19" s="101"/>
      <c r="U19" s="101"/>
      <c r="V19" s="101"/>
      <c r="W19" s="101"/>
    </row>
    <row r="20" spans="2:23" x14ac:dyDescent="0.2">
      <c r="B20" s="46" t="s">
        <v>67</v>
      </c>
      <c r="C20" s="47"/>
      <c r="D20" s="47"/>
      <c r="E20" s="47"/>
      <c r="F20" s="47"/>
      <c r="G20" s="47"/>
      <c r="H20" s="47"/>
      <c r="I20" s="48">
        <f>I18/(1+L13)^H5</f>
        <v>1098711.087185022</v>
      </c>
      <c r="O20" s="101"/>
      <c r="P20" s="101"/>
      <c r="Q20" s="101"/>
      <c r="R20" s="101"/>
      <c r="S20" s="101"/>
      <c r="T20" s="101"/>
      <c r="U20" s="101"/>
      <c r="V20" s="101"/>
      <c r="W20" s="101"/>
    </row>
    <row r="21" spans="2:23" x14ac:dyDescent="0.2">
      <c r="B21" s="28" t="s">
        <v>13</v>
      </c>
      <c r="C21" s="28"/>
      <c r="D21" s="28"/>
      <c r="E21" s="28"/>
      <c r="F21" s="28"/>
      <c r="G21" s="28"/>
      <c r="H21" s="28"/>
      <c r="I21" s="40">
        <f>SUM(D19:H19)+I20</f>
        <v>1552771.708172583</v>
      </c>
      <c r="O21" s="101"/>
      <c r="P21" s="101"/>
      <c r="Q21" s="101"/>
      <c r="R21" s="101"/>
      <c r="S21" s="101"/>
      <c r="T21" s="101"/>
      <c r="U21" s="101"/>
      <c r="V21" s="101"/>
      <c r="W21" s="101"/>
    </row>
    <row r="22" spans="2:23" x14ac:dyDescent="0.2">
      <c r="B22" s="11" t="s">
        <v>9</v>
      </c>
      <c r="C22" s="1"/>
      <c r="D22" s="1"/>
      <c r="E22" s="1"/>
      <c r="F22" s="1"/>
      <c r="G22" s="1"/>
      <c r="H22" s="1"/>
      <c r="I22" s="2">
        <f>'AAPL Financial Data'!C22</f>
        <v>98657</v>
      </c>
      <c r="O22" s="101"/>
      <c r="P22" s="101"/>
      <c r="Q22" s="101"/>
      <c r="R22" s="101"/>
      <c r="S22" s="101"/>
      <c r="T22" s="101"/>
      <c r="U22" s="101"/>
      <c r="V22" s="101"/>
      <c r="W22" s="101"/>
    </row>
    <row r="23" spans="2:23" x14ac:dyDescent="0.2">
      <c r="B23" s="11" t="s">
        <v>68</v>
      </c>
      <c r="C23" s="1"/>
      <c r="D23" s="1"/>
      <c r="E23" s="1"/>
      <c r="F23" s="1"/>
      <c r="G23" s="1"/>
      <c r="H23" s="1"/>
      <c r="I23" s="1">
        <f>'AAPL Financial Data'!C21</f>
        <v>35934</v>
      </c>
      <c r="O23" s="101"/>
      <c r="P23" s="101"/>
      <c r="Q23" s="101"/>
      <c r="R23" s="101"/>
      <c r="S23" s="101"/>
      <c r="T23" s="101"/>
      <c r="U23" s="101"/>
      <c r="V23" s="101"/>
      <c r="W23" s="101"/>
    </row>
    <row r="24" spans="2:23" x14ac:dyDescent="0.2">
      <c r="B24" s="11" t="s">
        <v>70</v>
      </c>
      <c r="C24" s="1"/>
      <c r="D24" s="1"/>
      <c r="E24" s="1"/>
      <c r="F24" s="1"/>
      <c r="G24" s="1"/>
      <c r="H24" s="1"/>
      <c r="I24" s="2">
        <f>I22-I23</f>
        <v>62723</v>
      </c>
      <c r="O24" s="101"/>
      <c r="P24" s="101"/>
      <c r="Q24" s="101"/>
      <c r="R24" s="101"/>
      <c r="S24" s="101"/>
      <c r="T24" s="101"/>
      <c r="U24" s="101"/>
      <c r="V24" s="101"/>
      <c r="W24" s="101"/>
    </row>
    <row r="25" spans="2:23" x14ac:dyDescent="0.2">
      <c r="B25" s="28" t="s">
        <v>69</v>
      </c>
      <c r="C25" s="28"/>
      <c r="D25" s="28"/>
      <c r="E25" s="28"/>
      <c r="F25" s="28"/>
      <c r="G25" s="28"/>
      <c r="H25" s="28"/>
      <c r="I25" s="40">
        <f>I21-I24</f>
        <v>1490048.708172583</v>
      </c>
      <c r="O25" s="101"/>
      <c r="P25" s="101"/>
      <c r="Q25" s="101"/>
      <c r="R25" s="101"/>
      <c r="S25" s="101"/>
      <c r="T25" s="101"/>
      <c r="U25" s="101"/>
      <c r="V25" s="101"/>
      <c r="W25" s="101"/>
    </row>
    <row r="26" spans="2:23" x14ac:dyDescent="0.2">
      <c r="B26" s="46" t="s">
        <v>71</v>
      </c>
      <c r="C26" s="47"/>
      <c r="D26" s="47"/>
      <c r="E26" s="47"/>
      <c r="F26" s="47"/>
      <c r="G26" s="47"/>
      <c r="H26" s="47"/>
      <c r="I26" s="49">
        <f>'AAPL Financial Data'!C27</f>
        <v>14680</v>
      </c>
      <c r="O26" s="101"/>
      <c r="P26" s="101"/>
      <c r="Q26" s="101"/>
      <c r="R26" s="101"/>
      <c r="S26" s="101"/>
      <c r="T26" s="101"/>
      <c r="U26" s="101"/>
      <c r="V26" s="101"/>
      <c r="W26" s="101"/>
    </row>
    <row r="27" spans="2:23" x14ac:dyDescent="0.2">
      <c r="B27" s="28" t="s">
        <v>72</v>
      </c>
      <c r="C27" s="28"/>
      <c r="D27" s="28"/>
      <c r="E27" s="28"/>
      <c r="F27" s="28"/>
      <c r="G27" s="28"/>
      <c r="H27" s="28"/>
      <c r="I27" s="39">
        <f>I25/I26</f>
        <v>101.5019555975874</v>
      </c>
      <c r="O27" s="101"/>
      <c r="P27" s="101"/>
      <c r="Q27" s="101"/>
      <c r="R27" s="101"/>
      <c r="S27" s="101"/>
      <c r="T27" s="101"/>
      <c r="U27" s="101"/>
      <c r="V27" s="101"/>
      <c r="W27" s="101"/>
    </row>
    <row r="28" spans="2:23" x14ac:dyDescent="0.2">
      <c r="O28" s="101"/>
      <c r="P28" s="101"/>
      <c r="Q28" s="101"/>
      <c r="R28" s="101"/>
      <c r="S28" s="101"/>
      <c r="T28" s="101"/>
      <c r="U28" s="101"/>
      <c r="V28" s="101"/>
      <c r="W28" s="101"/>
    </row>
    <row r="29" spans="2:23" x14ac:dyDescent="0.2">
      <c r="B29" s="15" t="s">
        <v>73</v>
      </c>
      <c r="C29" s="15" t="s">
        <v>74</v>
      </c>
    </row>
    <row r="30" spans="2:23" x14ac:dyDescent="0.2">
      <c r="B30" s="11" t="s">
        <v>75</v>
      </c>
      <c r="C30" s="51">
        <v>1.55</v>
      </c>
      <c r="D30" s="13" t="s">
        <v>82</v>
      </c>
    </row>
    <row r="31" spans="2:23" x14ac:dyDescent="0.2">
      <c r="B31" s="11" t="s">
        <v>77</v>
      </c>
      <c r="C31" s="51">
        <v>1.49</v>
      </c>
      <c r="D31" s="13" t="s">
        <v>82</v>
      </c>
    </row>
    <row r="32" spans="2:23" x14ac:dyDescent="0.2">
      <c r="B32" s="11" t="s">
        <v>79</v>
      </c>
      <c r="C32" s="51">
        <v>101.5</v>
      </c>
    </row>
    <row r="33" spans="2:20" x14ac:dyDescent="0.2">
      <c r="B33" s="11" t="s">
        <v>80</v>
      </c>
      <c r="C33" s="51">
        <v>275</v>
      </c>
    </row>
    <row r="34" spans="2:20" x14ac:dyDescent="0.2">
      <c r="B34" s="11" t="s">
        <v>81</v>
      </c>
      <c r="C34" s="50">
        <f>(C32-C33)/C33</f>
        <v>-0.63090909090909086</v>
      </c>
    </row>
    <row r="35" spans="2:20" x14ac:dyDescent="0.2">
      <c r="B35" s="53" t="s">
        <v>99</v>
      </c>
      <c r="C35" s="54" t="s">
        <v>100</v>
      </c>
    </row>
    <row r="37" spans="2:20" x14ac:dyDescent="0.2">
      <c r="B37" s="97" t="s">
        <v>189</v>
      </c>
      <c r="C37" s="97"/>
      <c r="K37" s="100" t="s">
        <v>190</v>
      </c>
      <c r="L37" s="100"/>
      <c r="M37" s="100"/>
    </row>
    <row r="38" spans="2:20" x14ac:dyDescent="0.2">
      <c r="B38" s="11" t="s">
        <v>29</v>
      </c>
      <c r="C38" s="1" t="s">
        <v>28</v>
      </c>
      <c r="K38" s="1" t="s">
        <v>191</v>
      </c>
      <c r="L38" s="1" t="s">
        <v>74</v>
      </c>
      <c r="M38" s="1" t="s">
        <v>194</v>
      </c>
    </row>
    <row r="39" spans="2:20" x14ac:dyDescent="0.2">
      <c r="B39" s="1">
        <v>2026</v>
      </c>
      <c r="C39" s="8">
        <f>D17</f>
        <v>109908.1201</v>
      </c>
      <c r="K39" s="1" t="s">
        <v>192</v>
      </c>
      <c r="L39" s="8">
        <f>I19</f>
        <v>454060.62098756107</v>
      </c>
      <c r="M39" s="73">
        <f>L39/(L39+L40)</f>
        <v>0.29241943203739418</v>
      </c>
    </row>
    <row r="40" spans="2:20" x14ac:dyDescent="0.2">
      <c r="B40" s="1">
        <v>2027</v>
      </c>
      <c r="C40" s="8">
        <f>E17</f>
        <v>115403.526105</v>
      </c>
      <c r="K40" s="1" t="s">
        <v>193</v>
      </c>
      <c r="L40" s="8">
        <f>I20</f>
        <v>1098711.087185022</v>
      </c>
      <c r="M40" s="17">
        <f>1-M39</f>
        <v>0.70758056796260582</v>
      </c>
    </row>
    <row r="41" spans="2:20" x14ac:dyDescent="0.2">
      <c r="B41" s="1">
        <v>2028</v>
      </c>
      <c r="C41" s="8">
        <f>F17</f>
        <v>121173.70241025</v>
      </c>
    </row>
    <row r="42" spans="2:20" x14ac:dyDescent="0.2">
      <c r="B42" s="1">
        <v>2029</v>
      </c>
      <c r="C42" s="8">
        <f>G17</f>
        <v>127232.38753076254</v>
      </c>
    </row>
    <row r="43" spans="2:20" x14ac:dyDescent="0.2">
      <c r="B43" s="1">
        <v>2030</v>
      </c>
      <c r="C43" s="8">
        <f>H17</f>
        <v>133594.00690730065</v>
      </c>
    </row>
    <row r="45" spans="2:20" ht="16" customHeight="1" x14ac:dyDescent="0.2">
      <c r="D45" s="98" t="s">
        <v>188</v>
      </c>
      <c r="E45" s="98"/>
      <c r="F45" s="98"/>
      <c r="G45" s="98"/>
      <c r="H45" s="98"/>
      <c r="I45" s="98"/>
      <c r="N45" s="98" t="s">
        <v>195</v>
      </c>
      <c r="O45" s="98"/>
      <c r="P45" s="98"/>
      <c r="Q45" s="98"/>
      <c r="R45" s="98"/>
      <c r="S45" s="98"/>
      <c r="T45" s="98"/>
    </row>
    <row r="46" spans="2:20" x14ac:dyDescent="0.2">
      <c r="D46" s="98"/>
      <c r="E46" s="98"/>
      <c r="F46" s="98"/>
      <c r="G46" s="98"/>
      <c r="H46" s="98"/>
      <c r="I46" s="98"/>
      <c r="N46" s="98"/>
      <c r="O46" s="98"/>
      <c r="P46" s="98"/>
      <c r="Q46" s="98"/>
      <c r="R46" s="98"/>
      <c r="S46" s="98"/>
      <c r="T46" s="98"/>
    </row>
    <row r="47" spans="2:20" x14ac:dyDescent="0.2">
      <c r="D47" s="98"/>
      <c r="E47" s="98"/>
      <c r="F47" s="98"/>
      <c r="G47" s="98"/>
      <c r="H47" s="98"/>
      <c r="I47" s="98"/>
      <c r="N47" s="98"/>
      <c r="O47" s="98"/>
      <c r="P47" s="98"/>
      <c r="Q47" s="98"/>
      <c r="R47" s="98"/>
      <c r="S47" s="98"/>
      <c r="T47" s="98"/>
    </row>
    <row r="48" spans="2:20" x14ac:dyDescent="0.2">
      <c r="D48" s="98"/>
      <c r="E48" s="98"/>
      <c r="F48" s="98"/>
      <c r="G48" s="98"/>
      <c r="H48" s="98"/>
      <c r="I48" s="98"/>
      <c r="N48" s="98"/>
      <c r="O48" s="98"/>
      <c r="P48" s="98"/>
      <c r="Q48" s="98"/>
      <c r="R48" s="98"/>
      <c r="S48" s="98"/>
      <c r="T48" s="98"/>
    </row>
    <row r="49" spans="14:20" x14ac:dyDescent="0.2">
      <c r="N49" s="98"/>
      <c r="O49" s="98"/>
      <c r="P49" s="98"/>
      <c r="Q49" s="98"/>
      <c r="R49" s="98"/>
      <c r="S49" s="98"/>
      <c r="T49" s="98"/>
    </row>
  </sheetData>
  <mergeCells count="9">
    <mergeCell ref="B2:W2"/>
    <mergeCell ref="D45:I48"/>
    <mergeCell ref="B37:C37"/>
    <mergeCell ref="K37:M37"/>
    <mergeCell ref="N45:T49"/>
    <mergeCell ref="K4:L4"/>
    <mergeCell ref="B4:I4"/>
    <mergeCell ref="O5:W28"/>
    <mergeCell ref="O4:W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7D7B5-9D1F-F545-8FD3-9CDDC222BEF6}">
  <dimension ref="B2:Q52"/>
  <sheetViews>
    <sheetView showGridLines="0" topLeftCell="A25" zoomScale="116" workbookViewId="0">
      <selection activeCell="H33" sqref="H33:K36"/>
    </sheetView>
  </sheetViews>
  <sheetFormatPr baseColWidth="10" defaultRowHeight="16" x14ac:dyDescent="0.2"/>
  <cols>
    <col min="2" max="2" width="24.83203125" bestFit="1" customWidth="1"/>
    <col min="8" max="8" width="22.1640625" bestFit="1" customWidth="1"/>
  </cols>
  <sheetData>
    <row r="2" spans="2:17" x14ac:dyDescent="0.2">
      <c r="B2" s="99" t="s">
        <v>171</v>
      </c>
      <c r="C2" s="99"/>
      <c r="D2" s="99"/>
      <c r="E2" s="99"/>
      <c r="F2" s="99"/>
      <c r="G2" s="99"/>
      <c r="H2" s="99"/>
      <c r="I2" s="99"/>
      <c r="J2" s="99"/>
      <c r="K2" s="99"/>
      <c r="L2" s="99"/>
      <c r="M2" s="99"/>
      <c r="N2" s="99"/>
      <c r="O2" s="99"/>
      <c r="P2" s="99"/>
      <c r="Q2" s="99"/>
    </row>
    <row r="4" spans="2:17" x14ac:dyDescent="0.2">
      <c r="B4" s="97" t="s">
        <v>93</v>
      </c>
      <c r="C4" s="97"/>
      <c r="H4" s="97" t="s">
        <v>185</v>
      </c>
      <c r="I4" s="97"/>
      <c r="J4" s="97"/>
      <c r="K4" s="97"/>
      <c r="L4" s="97"/>
      <c r="M4" s="97"/>
      <c r="N4" s="97"/>
      <c r="O4" s="97"/>
      <c r="P4" s="97"/>
      <c r="Q4" s="97"/>
    </row>
    <row r="5" spans="2:17" ht="16" customHeight="1" x14ac:dyDescent="0.2">
      <c r="B5" s="1" t="s">
        <v>85</v>
      </c>
      <c r="C5" s="8">
        <f>'AAPL DCF Valuation'!H17</f>
        <v>133594.00690730065</v>
      </c>
      <c r="H5" s="104" t="s">
        <v>184</v>
      </c>
      <c r="I5" s="105"/>
      <c r="J5" s="105"/>
      <c r="K5" s="105"/>
      <c r="L5" s="105"/>
      <c r="M5" s="105"/>
      <c r="N5" s="105"/>
      <c r="O5" s="105"/>
      <c r="P5" s="105"/>
      <c r="Q5" s="106"/>
    </row>
    <row r="6" spans="2:17" x14ac:dyDescent="0.2">
      <c r="B6" s="1" t="s">
        <v>88</v>
      </c>
      <c r="C6" s="8">
        <f>'AAPL DCF Valuation'!I19</f>
        <v>454060.62098756107</v>
      </c>
      <c r="H6" s="107"/>
      <c r="I6" s="108"/>
      <c r="J6" s="108"/>
      <c r="K6" s="108"/>
      <c r="L6" s="108"/>
      <c r="M6" s="108"/>
      <c r="N6" s="108"/>
      <c r="O6" s="108"/>
      <c r="P6" s="108"/>
      <c r="Q6" s="109"/>
    </row>
    <row r="7" spans="2:17" x14ac:dyDescent="0.2">
      <c r="B7" s="1" t="s">
        <v>70</v>
      </c>
      <c r="C7" s="8">
        <f>'AAPL DCF Valuation'!I24</f>
        <v>62723</v>
      </c>
      <c r="H7" s="107"/>
      <c r="I7" s="108"/>
      <c r="J7" s="108"/>
      <c r="K7" s="108"/>
      <c r="L7" s="108"/>
      <c r="M7" s="108"/>
      <c r="N7" s="108"/>
      <c r="O7" s="108"/>
      <c r="P7" s="108"/>
      <c r="Q7" s="109"/>
    </row>
    <row r="8" spans="2:17" x14ac:dyDescent="0.2">
      <c r="B8" s="1" t="s">
        <v>92</v>
      </c>
      <c r="C8" s="8">
        <f>'AAPL DCF Valuation'!I26</f>
        <v>14680</v>
      </c>
      <c r="H8" s="107"/>
      <c r="I8" s="108"/>
      <c r="J8" s="108"/>
      <c r="K8" s="108"/>
      <c r="L8" s="108"/>
      <c r="M8" s="108"/>
      <c r="N8" s="108"/>
      <c r="O8" s="108"/>
      <c r="P8" s="108"/>
      <c r="Q8" s="109"/>
    </row>
    <row r="9" spans="2:17" x14ac:dyDescent="0.2">
      <c r="H9" s="107"/>
      <c r="I9" s="108"/>
      <c r="J9" s="108"/>
      <c r="K9" s="108"/>
      <c r="L9" s="108"/>
      <c r="M9" s="108"/>
      <c r="N9" s="108"/>
      <c r="O9" s="108"/>
      <c r="P9" s="108"/>
      <c r="Q9" s="109"/>
    </row>
    <row r="10" spans="2:17" x14ac:dyDescent="0.2">
      <c r="B10" s="97" t="s">
        <v>86</v>
      </c>
      <c r="C10" s="97"/>
      <c r="D10" s="97"/>
      <c r="E10" s="97"/>
      <c r="H10" s="107"/>
      <c r="I10" s="108"/>
      <c r="J10" s="108"/>
      <c r="K10" s="108"/>
      <c r="L10" s="108"/>
      <c r="M10" s="108"/>
      <c r="N10" s="108"/>
      <c r="O10" s="108"/>
      <c r="P10" s="108"/>
      <c r="Q10" s="109"/>
    </row>
    <row r="11" spans="2:17" x14ac:dyDescent="0.2">
      <c r="B11" s="1" t="s">
        <v>84</v>
      </c>
      <c r="C11" s="17">
        <v>0.02</v>
      </c>
      <c r="D11" s="23">
        <v>2.5000000000000001E-2</v>
      </c>
      <c r="E11" s="17">
        <v>0.03</v>
      </c>
      <c r="H11" s="107"/>
      <c r="I11" s="108"/>
      <c r="J11" s="108"/>
      <c r="K11" s="108"/>
      <c r="L11" s="108"/>
      <c r="M11" s="108"/>
      <c r="N11" s="108"/>
      <c r="O11" s="108"/>
      <c r="P11" s="108"/>
      <c r="Q11" s="109"/>
    </row>
    <row r="12" spans="2:17" x14ac:dyDescent="0.2">
      <c r="B12" s="17">
        <v>0.09</v>
      </c>
      <c r="C12" s="8">
        <f>$C$5*(1+$C$11)/(B12-$C$11)</f>
        <v>1946655.529220667</v>
      </c>
      <c r="D12" s="8">
        <f>$C$5*(1+$D$11)/(B12-$D$11)</f>
        <v>2106674.7243074328</v>
      </c>
      <c r="E12" s="8">
        <f>$C$5*(1+$E$11)/(B12-$E$11)</f>
        <v>2293363.7852419945</v>
      </c>
      <c r="H12" s="107"/>
      <c r="I12" s="108"/>
      <c r="J12" s="108"/>
      <c r="K12" s="108"/>
      <c r="L12" s="108"/>
      <c r="M12" s="108"/>
      <c r="N12" s="108"/>
      <c r="O12" s="108"/>
      <c r="P12" s="108"/>
      <c r="Q12" s="109"/>
    </row>
    <row r="13" spans="2:17" x14ac:dyDescent="0.2">
      <c r="B13" s="17">
        <v>0.1</v>
      </c>
      <c r="C13" s="8">
        <f>$C$5*(1+$C$11)/(B13-$C$11)</f>
        <v>1703323.5880680834</v>
      </c>
      <c r="D13" s="8">
        <f>$C$5*(1+$D$11)/(B13-$D$11)</f>
        <v>1825784.7610664417</v>
      </c>
      <c r="E13" s="8">
        <f>$C$5*(1+$E$11)/(B13-$E$11)</f>
        <v>1965740.3873502808</v>
      </c>
      <c r="H13" s="107"/>
      <c r="I13" s="108"/>
      <c r="J13" s="108"/>
      <c r="K13" s="108"/>
      <c r="L13" s="108"/>
      <c r="M13" s="108"/>
      <c r="N13" s="108"/>
      <c r="O13" s="108"/>
      <c r="P13" s="108"/>
      <c r="Q13" s="109"/>
    </row>
    <row r="14" spans="2:17" x14ac:dyDescent="0.2">
      <c r="B14" s="17">
        <v>0.11</v>
      </c>
      <c r="C14" s="8">
        <f>$C$5*(1+$C$11)/(B14-$C$11)</f>
        <v>1514065.4116160742</v>
      </c>
      <c r="D14" s="8">
        <f>$C$5*(1+$D$11)/(B14-$D$11)</f>
        <v>1610986.5538821546</v>
      </c>
      <c r="E14" s="8">
        <f>$C$5*(1+$E$11)/(B14-$E$11)</f>
        <v>1720022.8389314958</v>
      </c>
      <c r="H14" s="107"/>
      <c r="I14" s="108"/>
      <c r="J14" s="108"/>
      <c r="K14" s="108"/>
      <c r="L14" s="108"/>
      <c r="M14" s="108"/>
      <c r="N14" s="108"/>
      <c r="O14" s="108"/>
      <c r="P14" s="108"/>
      <c r="Q14" s="109"/>
    </row>
    <row r="15" spans="2:17" x14ac:dyDescent="0.2">
      <c r="H15" s="107"/>
      <c r="I15" s="108"/>
      <c r="J15" s="108"/>
      <c r="K15" s="108"/>
      <c r="L15" s="108"/>
      <c r="M15" s="108"/>
      <c r="N15" s="108"/>
      <c r="O15" s="108"/>
      <c r="P15" s="108"/>
      <c r="Q15" s="109"/>
    </row>
    <row r="16" spans="2:17" x14ac:dyDescent="0.2">
      <c r="B16" s="97" t="s">
        <v>87</v>
      </c>
      <c r="C16" s="97"/>
      <c r="D16" s="97"/>
      <c r="E16" s="97"/>
      <c r="H16" s="107"/>
      <c r="I16" s="108"/>
      <c r="J16" s="108"/>
      <c r="K16" s="108"/>
      <c r="L16" s="108"/>
      <c r="M16" s="108"/>
      <c r="N16" s="108"/>
      <c r="O16" s="108"/>
      <c r="P16" s="108"/>
      <c r="Q16" s="109"/>
    </row>
    <row r="17" spans="2:17" x14ac:dyDescent="0.2">
      <c r="B17" s="1" t="s">
        <v>84</v>
      </c>
      <c r="C17" s="17">
        <v>0.02</v>
      </c>
      <c r="D17" s="23">
        <v>2.5000000000000001E-2</v>
      </c>
      <c r="E17" s="17">
        <v>0.03</v>
      </c>
      <c r="H17" s="107"/>
      <c r="I17" s="108"/>
      <c r="J17" s="108"/>
      <c r="K17" s="108"/>
      <c r="L17" s="108"/>
      <c r="M17" s="108"/>
      <c r="N17" s="108"/>
      <c r="O17" s="108"/>
      <c r="P17" s="108"/>
      <c r="Q17" s="109"/>
    </row>
    <row r="18" spans="2:17" x14ac:dyDescent="0.2">
      <c r="B18" s="17">
        <v>0.09</v>
      </c>
      <c r="C18" s="8">
        <f>C12/(1+$B$18)^5</f>
        <v>1265192.5267517271</v>
      </c>
      <c r="D18" s="8">
        <f>D12/(1+$B$18)^5</f>
        <v>1369194.0240488141</v>
      </c>
      <c r="E18" s="8">
        <f>E12/(1+$B$18)^5</f>
        <v>1490529.1042287501</v>
      </c>
      <c r="H18" s="107"/>
      <c r="I18" s="108"/>
      <c r="J18" s="108"/>
      <c r="K18" s="108"/>
      <c r="L18" s="108"/>
      <c r="M18" s="108"/>
      <c r="N18" s="108"/>
      <c r="O18" s="108"/>
      <c r="P18" s="108"/>
      <c r="Q18" s="109"/>
    </row>
    <row r="19" spans="2:17" x14ac:dyDescent="0.2">
      <c r="B19" s="17">
        <v>0.1</v>
      </c>
      <c r="C19" s="8">
        <f>C13/(1+$B$19)^5</f>
        <v>1057629.9359011014</v>
      </c>
      <c r="D19" s="8">
        <f>D13/(1+$B$19)^5</f>
        <v>1133668.689462618</v>
      </c>
      <c r="E19" s="8">
        <f>E13/(1+$B$19)^5</f>
        <v>1220570.1221043521</v>
      </c>
      <c r="H19" s="107"/>
      <c r="I19" s="108"/>
      <c r="J19" s="108"/>
      <c r="K19" s="108"/>
      <c r="L19" s="108"/>
      <c r="M19" s="108"/>
      <c r="N19" s="108"/>
      <c r="O19" s="108"/>
      <c r="P19" s="108"/>
      <c r="Q19" s="109"/>
    </row>
    <row r="20" spans="2:17" x14ac:dyDescent="0.2">
      <c r="B20" s="17">
        <v>0.11</v>
      </c>
      <c r="C20" s="8">
        <f>C14/(1+$B$20)^5</f>
        <v>898524.12929108739</v>
      </c>
      <c r="D20" s="8">
        <f>D14/(1+$B$20)^5</f>
        <v>956042.10988584533</v>
      </c>
      <c r="E20" s="8">
        <f>E14/(1+$B$20)^5</f>
        <v>1020749.8380549485</v>
      </c>
      <c r="H20" s="107"/>
      <c r="I20" s="108"/>
      <c r="J20" s="108"/>
      <c r="K20" s="108"/>
      <c r="L20" s="108"/>
      <c r="M20" s="108"/>
      <c r="N20" s="108"/>
      <c r="O20" s="108"/>
      <c r="P20" s="108"/>
      <c r="Q20" s="109"/>
    </row>
    <row r="21" spans="2:17" x14ac:dyDescent="0.2">
      <c r="H21" s="107"/>
      <c r="I21" s="108"/>
      <c r="J21" s="108"/>
      <c r="K21" s="108"/>
      <c r="L21" s="108"/>
      <c r="M21" s="108"/>
      <c r="N21" s="108"/>
      <c r="O21" s="108"/>
      <c r="P21" s="108"/>
      <c r="Q21" s="109"/>
    </row>
    <row r="22" spans="2:17" x14ac:dyDescent="0.2">
      <c r="B22" s="97" t="s">
        <v>89</v>
      </c>
      <c r="C22" s="97"/>
      <c r="D22" s="97"/>
      <c r="E22" s="97"/>
      <c r="H22" s="107"/>
      <c r="I22" s="108"/>
      <c r="J22" s="108"/>
      <c r="K22" s="108"/>
      <c r="L22" s="108"/>
      <c r="M22" s="108"/>
      <c r="N22" s="108"/>
      <c r="O22" s="108"/>
      <c r="P22" s="108"/>
      <c r="Q22" s="109"/>
    </row>
    <row r="23" spans="2:17" x14ac:dyDescent="0.2">
      <c r="B23" s="1" t="s">
        <v>84</v>
      </c>
      <c r="C23" s="17">
        <v>0.02</v>
      </c>
      <c r="D23" s="23">
        <v>2.5000000000000001E-2</v>
      </c>
      <c r="E23" s="17">
        <v>0.03</v>
      </c>
      <c r="H23" s="107"/>
      <c r="I23" s="108"/>
      <c r="J23" s="108"/>
      <c r="K23" s="108"/>
      <c r="L23" s="108"/>
      <c r="M23" s="108"/>
      <c r="N23" s="108"/>
      <c r="O23" s="108"/>
      <c r="P23" s="108"/>
      <c r="Q23" s="109"/>
    </row>
    <row r="24" spans="2:17" x14ac:dyDescent="0.2">
      <c r="B24" s="17">
        <v>0.09</v>
      </c>
      <c r="C24" s="8">
        <f t="shared" ref="C24:E26" si="0">C18+$C$6</f>
        <v>1719253.1477392882</v>
      </c>
      <c r="D24" s="8">
        <f t="shared" si="0"/>
        <v>1823254.6450363752</v>
      </c>
      <c r="E24" s="8">
        <f t="shared" si="0"/>
        <v>1944589.7252163112</v>
      </c>
      <c r="H24" s="107"/>
      <c r="I24" s="108"/>
      <c r="J24" s="108"/>
      <c r="K24" s="108"/>
      <c r="L24" s="108"/>
      <c r="M24" s="108"/>
      <c r="N24" s="108"/>
      <c r="O24" s="108"/>
      <c r="P24" s="108"/>
      <c r="Q24" s="109"/>
    </row>
    <row r="25" spans="2:17" x14ac:dyDescent="0.2">
      <c r="B25" s="17">
        <v>0.1</v>
      </c>
      <c r="C25" s="8">
        <f t="shared" si="0"/>
        <v>1511690.5568886625</v>
      </c>
      <c r="D25" s="8">
        <f t="shared" si="0"/>
        <v>1587729.310450179</v>
      </c>
      <c r="E25" s="8">
        <f t="shared" si="0"/>
        <v>1674630.7430919132</v>
      </c>
      <c r="H25" s="107"/>
      <c r="I25" s="108"/>
      <c r="J25" s="108"/>
      <c r="K25" s="108"/>
      <c r="L25" s="108"/>
      <c r="M25" s="108"/>
      <c r="N25" s="108"/>
      <c r="O25" s="108"/>
      <c r="P25" s="108"/>
      <c r="Q25" s="109"/>
    </row>
    <row r="26" spans="2:17" x14ac:dyDescent="0.2">
      <c r="B26" s="17">
        <v>0.11</v>
      </c>
      <c r="C26" s="8">
        <f t="shared" si="0"/>
        <v>1352584.7502786485</v>
      </c>
      <c r="D26" s="8">
        <f t="shared" si="0"/>
        <v>1410102.7308734064</v>
      </c>
      <c r="E26" s="8">
        <f t="shared" si="0"/>
        <v>1474810.4590425096</v>
      </c>
      <c r="H26" s="107"/>
      <c r="I26" s="108"/>
      <c r="J26" s="108"/>
      <c r="K26" s="108"/>
      <c r="L26" s="108"/>
      <c r="M26" s="108"/>
      <c r="N26" s="108"/>
      <c r="O26" s="108"/>
      <c r="P26" s="108"/>
      <c r="Q26" s="109"/>
    </row>
    <row r="27" spans="2:17" x14ac:dyDescent="0.2">
      <c r="H27" s="107"/>
      <c r="I27" s="108"/>
      <c r="J27" s="108"/>
      <c r="K27" s="108"/>
      <c r="L27" s="108"/>
      <c r="M27" s="108"/>
      <c r="N27" s="108"/>
      <c r="O27" s="108"/>
      <c r="P27" s="108"/>
      <c r="Q27" s="109"/>
    </row>
    <row r="28" spans="2:17" x14ac:dyDescent="0.2">
      <c r="B28" s="97" t="s">
        <v>91</v>
      </c>
      <c r="C28" s="97"/>
      <c r="D28" s="97"/>
      <c r="E28" s="97"/>
      <c r="H28" s="107"/>
      <c r="I28" s="108"/>
      <c r="J28" s="108"/>
      <c r="K28" s="108"/>
      <c r="L28" s="108"/>
      <c r="M28" s="108"/>
      <c r="N28" s="108"/>
      <c r="O28" s="108"/>
      <c r="P28" s="108"/>
      <c r="Q28" s="109"/>
    </row>
    <row r="29" spans="2:17" x14ac:dyDescent="0.2">
      <c r="B29" s="1" t="s">
        <v>84</v>
      </c>
      <c r="C29" s="17">
        <v>0.02</v>
      </c>
      <c r="D29" s="23">
        <v>2.5000000000000001E-2</v>
      </c>
      <c r="E29" s="17">
        <v>0.03</v>
      </c>
      <c r="H29" s="110"/>
      <c r="I29" s="111"/>
      <c r="J29" s="111"/>
      <c r="K29" s="111"/>
      <c r="L29" s="111"/>
      <c r="M29" s="111"/>
      <c r="N29" s="111"/>
      <c r="O29" s="111"/>
      <c r="P29" s="111"/>
      <c r="Q29" s="112"/>
    </row>
    <row r="30" spans="2:17" x14ac:dyDescent="0.2">
      <c r="B30" s="17">
        <v>0.09</v>
      </c>
      <c r="C30" s="8">
        <f>C24-$C$7</f>
        <v>1656530.1477392882</v>
      </c>
      <c r="D30" s="8">
        <f t="shared" ref="D30" si="1">D24-$C$7</f>
        <v>1760531.6450363752</v>
      </c>
      <c r="E30" s="8">
        <f>E24-$C$7</f>
        <v>1881866.7252163112</v>
      </c>
    </row>
    <row r="31" spans="2:17" x14ac:dyDescent="0.2">
      <c r="B31" s="17">
        <v>0.1</v>
      </c>
      <c r="C31" s="8">
        <f t="shared" ref="C31:E31" si="2">C25-$C$7</f>
        <v>1448967.5568886625</v>
      </c>
      <c r="D31" s="8">
        <f t="shared" si="2"/>
        <v>1525006.310450179</v>
      </c>
      <c r="E31" s="8">
        <f t="shared" si="2"/>
        <v>1611907.7430919132</v>
      </c>
    </row>
    <row r="32" spans="2:17" x14ac:dyDescent="0.2">
      <c r="B32" s="17">
        <v>0.11</v>
      </c>
      <c r="C32" s="8">
        <f t="shared" ref="C32:E32" si="3">C26-$C$7</f>
        <v>1289861.7502786485</v>
      </c>
      <c r="D32" s="8">
        <f t="shared" si="3"/>
        <v>1347379.7308734064</v>
      </c>
      <c r="E32" s="8">
        <f t="shared" si="3"/>
        <v>1412087.4590425096</v>
      </c>
      <c r="H32" s="97" t="s">
        <v>196</v>
      </c>
      <c r="I32" s="97"/>
      <c r="J32" s="97"/>
      <c r="K32" s="97"/>
    </row>
    <row r="33" spans="2:11" x14ac:dyDescent="0.2">
      <c r="H33" s="1" t="s">
        <v>84</v>
      </c>
      <c r="I33" s="17">
        <v>0.02</v>
      </c>
      <c r="J33" s="23">
        <v>2.5000000000000001E-2</v>
      </c>
      <c r="K33" s="17">
        <v>0.03</v>
      </c>
    </row>
    <row r="34" spans="2:11" x14ac:dyDescent="0.2">
      <c r="B34" s="97" t="s">
        <v>90</v>
      </c>
      <c r="C34" s="97"/>
      <c r="D34" s="97"/>
      <c r="E34" s="97"/>
      <c r="H34" s="17">
        <v>0.09</v>
      </c>
      <c r="I34" s="69">
        <f t="shared" ref="I34:K36" si="4">C36</f>
        <v>112.84265311575533</v>
      </c>
      <c r="J34" s="69">
        <f t="shared" si="4"/>
        <v>119.92722377631983</v>
      </c>
      <c r="K34" s="38">
        <f t="shared" si="4"/>
        <v>128.19255621364516</v>
      </c>
    </row>
    <row r="35" spans="2:11" x14ac:dyDescent="0.2">
      <c r="B35" s="1" t="s">
        <v>84</v>
      </c>
      <c r="C35" s="17">
        <v>0.02</v>
      </c>
      <c r="D35" s="23">
        <v>2.5000000000000001E-2</v>
      </c>
      <c r="E35" s="17">
        <v>0.03</v>
      </c>
      <c r="H35" s="17">
        <v>0.1</v>
      </c>
      <c r="I35" s="69">
        <f t="shared" si="4"/>
        <v>98.703512049636416</v>
      </c>
      <c r="J35" s="70">
        <f t="shared" si="4"/>
        <v>103.88326365464435</v>
      </c>
      <c r="K35" s="69">
        <f t="shared" si="4"/>
        <v>109.80297977465348</v>
      </c>
    </row>
    <row r="36" spans="2:11" x14ac:dyDescent="0.2">
      <c r="B36" s="17">
        <v>0.09</v>
      </c>
      <c r="C36" s="69">
        <f>C30/$C$8</f>
        <v>112.84265311575533</v>
      </c>
      <c r="D36" s="69">
        <f>D30/$C$8</f>
        <v>119.92722377631983</v>
      </c>
      <c r="E36" s="38">
        <f t="shared" ref="E36" si="5">E30/$C$8</f>
        <v>128.19255621364516</v>
      </c>
      <c r="H36" s="17">
        <v>0.11</v>
      </c>
      <c r="I36" s="38">
        <f t="shared" si="4"/>
        <v>87.865241844594578</v>
      </c>
      <c r="J36" s="69">
        <f t="shared" si="4"/>
        <v>91.783360413719777</v>
      </c>
      <c r="K36" s="69">
        <f t="shared" si="4"/>
        <v>96.191243803985671</v>
      </c>
    </row>
    <row r="37" spans="2:11" x14ac:dyDescent="0.2">
      <c r="B37" s="17">
        <v>0.1</v>
      </c>
      <c r="C37" s="69">
        <f t="shared" ref="C37:E37" si="6">C31/$C$8</f>
        <v>98.703512049636416</v>
      </c>
      <c r="D37" s="70">
        <f>D31/$C$8</f>
        <v>103.88326365464435</v>
      </c>
      <c r="E37" s="69">
        <f t="shared" si="6"/>
        <v>109.80297977465348</v>
      </c>
    </row>
    <row r="38" spans="2:11" ht="16" customHeight="1" x14ac:dyDescent="0.2">
      <c r="B38" s="17">
        <v>0.11</v>
      </c>
      <c r="C38" s="38">
        <f t="shared" ref="C38:E38" si="7">C32/$C$8</f>
        <v>87.865241844594578</v>
      </c>
      <c r="D38" s="69">
        <f t="shared" si="7"/>
        <v>91.783360413719777</v>
      </c>
      <c r="E38" s="69">
        <f t="shared" si="7"/>
        <v>96.191243803985671</v>
      </c>
      <c r="H38" s="101" t="s">
        <v>197</v>
      </c>
      <c r="I38" s="101"/>
      <c r="J38" s="101"/>
      <c r="K38" s="101"/>
    </row>
    <row r="39" spans="2:11" x14ac:dyDescent="0.2">
      <c r="H39" s="101"/>
      <c r="I39" s="101"/>
      <c r="J39" s="101"/>
      <c r="K39" s="101"/>
    </row>
    <row r="40" spans="2:11" x14ac:dyDescent="0.2">
      <c r="B40" s="97" t="s">
        <v>98</v>
      </c>
      <c r="C40" s="97"/>
      <c r="H40" s="101"/>
      <c r="I40" s="101"/>
      <c r="J40" s="101"/>
      <c r="K40" s="101"/>
    </row>
    <row r="41" spans="2:11" x14ac:dyDescent="0.2">
      <c r="B41" s="1" t="s">
        <v>97</v>
      </c>
      <c r="C41" s="36" t="s">
        <v>74</v>
      </c>
      <c r="H41" s="101"/>
      <c r="I41" s="101"/>
      <c r="J41" s="101"/>
      <c r="K41" s="101"/>
    </row>
    <row r="42" spans="2:11" x14ac:dyDescent="0.2">
      <c r="B42" s="4" t="s">
        <v>94</v>
      </c>
      <c r="C42" s="9">
        <f>C38</f>
        <v>87.865241844594578</v>
      </c>
      <c r="H42" s="101"/>
      <c r="I42" s="101"/>
      <c r="J42" s="101"/>
      <c r="K42" s="101"/>
    </row>
    <row r="43" spans="2:11" x14ac:dyDescent="0.2">
      <c r="B43" s="4" t="s">
        <v>96</v>
      </c>
      <c r="C43" s="9">
        <f>D37</f>
        <v>103.88326365464435</v>
      </c>
      <c r="H43" s="101"/>
      <c r="I43" s="101"/>
      <c r="J43" s="101"/>
      <c r="K43" s="101"/>
    </row>
    <row r="44" spans="2:11" x14ac:dyDescent="0.2">
      <c r="B44" s="4" t="s">
        <v>95</v>
      </c>
      <c r="C44" s="9">
        <f>E36</f>
        <v>128.19255621364516</v>
      </c>
      <c r="H44" s="101"/>
      <c r="I44" s="101"/>
      <c r="J44" s="101"/>
      <c r="K44" s="101"/>
    </row>
    <row r="45" spans="2:11" x14ac:dyDescent="0.2">
      <c r="H45" s="101"/>
      <c r="I45" s="101"/>
      <c r="J45" s="101"/>
      <c r="K45" s="101"/>
    </row>
    <row r="46" spans="2:11" x14ac:dyDescent="0.2">
      <c r="H46" s="101"/>
      <c r="I46" s="101"/>
      <c r="J46" s="101"/>
      <c r="K46" s="101"/>
    </row>
    <row r="47" spans="2:11" x14ac:dyDescent="0.2">
      <c r="H47" s="101"/>
      <c r="I47" s="101"/>
      <c r="J47" s="101"/>
      <c r="K47" s="101"/>
    </row>
    <row r="48" spans="2:11" x14ac:dyDescent="0.2">
      <c r="H48" s="101"/>
      <c r="I48" s="101"/>
      <c r="J48" s="101"/>
      <c r="K48" s="101"/>
    </row>
    <row r="49" spans="8:11" x14ac:dyDescent="0.2">
      <c r="H49" s="101"/>
      <c r="I49" s="101"/>
      <c r="J49" s="101"/>
      <c r="K49" s="101"/>
    </row>
    <row r="50" spans="8:11" x14ac:dyDescent="0.2">
      <c r="H50" s="101"/>
      <c r="I50" s="101"/>
      <c r="J50" s="101"/>
      <c r="K50" s="101"/>
    </row>
    <row r="51" spans="8:11" x14ac:dyDescent="0.2">
      <c r="H51" s="101"/>
      <c r="I51" s="101"/>
      <c r="J51" s="101"/>
      <c r="K51" s="101"/>
    </row>
    <row r="52" spans="8:11" x14ac:dyDescent="0.2">
      <c r="H52" s="26"/>
      <c r="I52" s="26"/>
      <c r="J52" s="26"/>
      <c r="K52" s="26"/>
    </row>
  </sheetData>
  <mergeCells count="12">
    <mergeCell ref="H38:K51"/>
    <mergeCell ref="B40:C40"/>
    <mergeCell ref="H5:Q29"/>
    <mergeCell ref="H4:Q4"/>
    <mergeCell ref="B2:Q2"/>
    <mergeCell ref="H32:K32"/>
    <mergeCell ref="B10:E10"/>
    <mergeCell ref="B16:E16"/>
    <mergeCell ref="B22:E22"/>
    <mergeCell ref="B28:E28"/>
    <mergeCell ref="B34:E34"/>
    <mergeCell ref="B4:C4"/>
  </mergeCells>
  <conditionalFormatting sqref="I34:K3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01FDA-940C-AA4A-8D76-49CE3A4C02C9}">
  <dimension ref="B2:W67"/>
  <sheetViews>
    <sheetView showGridLines="0" topLeftCell="A16" zoomScale="112" zoomScaleNormal="71" workbookViewId="0">
      <selection activeCell="I44" sqref="I44"/>
    </sheetView>
  </sheetViews>
  <sheetFormatPr baseColWidth="10" defaultRowHeight="16" x14ac:dyDescent="0.2"/>
  <cols>
    <col min="2" max="2" width="30.1640625" bestFit="1" customWidth="1"/>
    <col min="3" max="3" width="21.1640625" bestFit="1" customWidth="1"/>
    <col min="4" max="4" width="14.6640625" bestFit="1" customWidth="1"/>
    <col min="5" max="5" width="17.83203125" bestFit="1" customWidth="1"/>
    <col min="6" max="6" width="17.33203125" bestFit="1" customWidth="1"/>
    <col min="7" max="7" width="16.83203125" bestFit="1" customWidth="1"/>
    <col min="9" max="9" width="21.1640625" bestFit="1" customWidth="1"/>
    <col min="10" max="10" width="15" bestFit="1" customWidth="1"/>
    <col min="11" max="11" width="14.33203125" bestFit="1" customWidth="1"/>
    <col min="13" max="13" width="18.1640625" bestFit="1" customWidth="1"/>
    <col min="20" max="20" width="11.6640625" bestFit="1" customWidth="1"/>
  </cols>
  <sheetData>
    <row r="2" spans="2:23" x14ac:dyDescent="0.2">
      <c r="B2" s="99" t="s">
        <v>166</v>
      </c>
      <c r="C2" s="99"/>
      <c r="D2" s="99"/>
      <c r="E2" s="99"/>
      <c r="F2" s="99"/>
      <c r="G2" s="99"/>
      <c r="H2" s="99"/>
      <c r="I2" s="99"/>
      <c r="J2" s="99"/>
      <c r="K2" s="99"/>
      <c r="L2" s="99"/>
      <c r="M2" s="99"/>
      <c r="N2" s="99"/>
      <c r="O2" s="99"/>
      <c r="P2" s="99"/>
      <c r="Q2" s="99"/>
      <c r="R2" s="99"/>
      <c r="S2" s="99"/>
      <c r="T2" s="99"/>
      <c r="U2" s="99"/>
      <c r="V2" s="99"/>
      <c r="W2" s="99"/>
    </row>
    <row r="4" spans="2:23" x14ac:dyDescent="0.2">
      <c r="B4" s="97" t="s">
        <v>123</v>
      </c>
      <c r="C4" s="97"/>
      <c r="E4" s="97" t="s">
        <v>116</v>
      </c>
      <c r="F4" s="97"/>
      <c r="G4" s="97"/>
      <c r="H4" s="97"/>
      <c r="I4" s="97"/>
      <c r="J4" s="97"/>
      <c r="K4" s="97"/>
      <c r="L4" s="97"/>
      <c r="M4" s="97"/>
      <c r="O4" s="97" t="s">
        <v>117</v>
      </c>
      <c r="P4" s="97"/>
      <c r="Q4" s="97"/>
      <c r="R4" s="97"/>
      <c r="T4" s="97" t="s">
        <v>121</v>
      </c>
      <c r="U4" s="97"/>
      <c r="V4" s="97"/>
      <c r="W4" s="97"/>
    </row>
    <row r="5" spans="2:23" x14ac:dyDescent="0.2">
      <c r="B5" s="1" t="s">
        <v>113</v>
      </c>
      <c r="C5" s="1" t="s">
        <v>114</v>
      </c>
      <c r="E5" s="1" t="s">
        <v>10</v>
      </c>
      <c r="F5" s="1" t="s">
        <v>11</v>
      </c>
      <c r="G5" s="1" t="s">
        <v>69</v>
      </c>
      <c r="H5" s="1" t="s">
        <v>9</v>
      </c>
      <c r="I5" s="1" t="s">
        <v>8</v>
      </c>
      <c r="J5" s="1" t="s">
        <v>70</v>
      </c>
      <c r="K5" s="1" t="s">
        <v>13</v>
      </c>
      <c r="L5" s="30" t="s">
        <v>115</v>
      </c>
      <c r="M5" s="1" t="s">
        <v>122</v>
      </c>
      <c r="O5" s="1" t="s">
        <v>0</v>
      </c>
      <c r="P5" s="1" t="s">
        <v>104</v>
      </c>
      <c r="Q5" s="1" t="s">
        <v>2</v>
      </c>
      <c r="R5" s="1" t="s">
        <v>107</v>
      </c>
      <c r="T5" s="1" t="s">
        <v>118</v>
      </c>
      <c r="U5" s="1" t="s">
        <v>119</v>
      </c>
      <c r="V5" s="1" t="s">
        <v>108</v>
      </c>
      <c r="W5" s="1" t="s">
        <v>120</v>
      </c>
    </row>
    <row r="6" spans="2:23" x14ac:dyDescent="0.2">
      <c r="B6" s="59" t="s">
        <v>132</v>
      </c>
      <c r="C6" s="59" t="s">
        <v>101</v>
      </c>
      <c r="D6" s="60"/>
      <c r="E6" s="61">
        <v>250.12</v>
      </c>
      <c r="F6" s="65">
        <v>14920</v>
      </c>
      <c r="G6" s="64">
        <f>E6*F6</f>
        <v>3731790.4</v>
      </c>
      <c r="H6" s="66">
        <v>90509</v>
      </c>
      <c r="I6" s="66">
        <v>45317</v>
      </c>
      <c r="J6" s="67">
        <f>H6-I6</f>
        <v>45192</v>
      </c>
      <c r="K6" s="64">
        <f>G6+J6</f>
        <v>3776982.4</v>
      </c>
      <c r="L6" s="67">
        <v>88190</v>
      </c>
      <c r="M6" s="61">
        <f>L6/F6</f>
        <v>5.9108579088471851</v>
      </c>
      <c r="N6" s="60"/>
      <c r="O6" s="66">
        <v>435617</v>
      </c>
      <c r="P6" s="65">
        <v>152902</v>
      </c>
      <c r="Q6" s="66">
        <v>117777</v>
      </c>
      <c r="R6" s="65">
        <v>7.91</v>
      </c>
      <c r="S6" s="60"/>
      <c r="T6" s="61">
        <f>K6/O6</f>
        <v>8.6704201167539381</v>
      </c>
      <c r="U6" s="61">
        <f>E6/M6</f>
        <v>42.315346411157726</v>
      </c>
      <c r="V6" s="61">
        <f>E6/R6</f>
        <v>31.620733249051835</v>
      </c>
      <c r="W6" s="61">
        <f>K6/P6</f>
        <v>24.701981661456358</v>
      </c>
    </row>
    <row r="7" spans="2:23" x14ac:dyDescent="0.2">
      <c r="B7" s="1" t="s">
        <v>111</v>
      </c>
      <c r="C7" s="1" t="s">
        <v>105</v>
      </c>
      <c r="E7" s="14">
        <v>301.45999999999998</v>
      </c>
      <c r="F7" s="2">
        <v>12230</v>
      </c>
      <c r="G7" s="8">
        <f>E7*F7</f>
        <v>3686855.8</v>
      </c>
      <c r="H7" s="2">
        <v>59291</v>
      </c>
      <c r="I7" s="55">
        <v>30708</v>
      </c>
      <c r="J7" s="2">
        <f>H7-I7</f>
        <v>28583</v>
      </c>
      <c r="K7" s="8">
        <f>G7+J7</f>
        <v>3715438.8</v>
      </c>
      <c r="L7" s="2">
        <v>415265</v>
      </c>
      <c r="M7" s="14">
        <f>L7/F7</f>
        <v>33.954619787408014</v>
      </c>
      <c r="O7" s="2">
        <v>402836</v>
      </c>
      <c r="P7" s="2">
        <v>150175</v>
      </c>
      <c r="Q7" s="2">
        <v>132170</v>
      </c>
      <c r="R7" s="1">
        <v>10.82</v>
      </c>
      <c r="T7" s="14">
        <f>K7/O7</f>
        <v>9.2232044802351325</v>
      </c>
      <c r="U7" s="14">
        <f>G7/L7</f>
        <v>8.8783205904663287</v>
      </c>
      <c r="V7" s="14">
        <f>E7/R7</f>
        <v>27.861367837338261</v>
      </c>
      <c r="W7" s="14">
        <f>K7/P7</f>
        <v>24.740727817546194</v>
      </c>
    </row>
    <row r="8" spans="2:23" x14ac:dyDescent="0.2">
      <c r="B8" s="1" t="s">
        <v>102</v>
      </c>
      <c r="C8" s="1" t="s">
        <v>106</v>
      </c>
      <c r="E8" s="14">
        <v>395.55</v>
      </c>
      <c r="F8" s="2">
        <v>7462</v>
      </c>
      <c r="G8" s="8">
        <f>E8*F8</f>
        <v>2951594.1</v>
      </c>
      <c r="H8" s="18">
        <v>57607</v>
      </c>
      <c r="I8" s="2">
        <v>24296</v>
      </c>
      <c r="J8" s="2">
        <f>H8-I8</f>
        <v>33311</v>
      </c>
      <c r="K8" s="8">
        <f>G8+J8</f>
        <v>2984905.1</v>
      </c>
      <c r="L8" s="2">
        <v>390875</v>
      </c>
      <c r="M8" s="14">
        <f>L8/F8</f>
        <v>52.382069150361836</v>
      </c>
      <c r="O8" s="2">
        <v>305453</v>
      </c>
      <c r="P8" s="2">
        <v>184761</v>
      </c>
      <c r="Q8" s="2">
        <v>119262</v>
      </c>
      <c r="R8" s="1">
        <v>15.99</v>
      </c>
      <c r="T8" s="14">
        <f>K8/O8</f>
        <v>9.7720601860187983</v>
      </c>
      <c r="U8" s="14">
        <f>G8/L8</f>
        <v>7.5512480972177807</v>
      </c>
      <c r="V8" s="14">
        <f>E8/R8</f>
        <v>24.737335834896811</v>
      </c>
      <c r="W8" s="14">
        <f>K8/P8</f>
        <v>16.155493312982717</v>
      </c>
    </row>
    <row r="9" spans="2:23" x14ac:dyDescent="0.2">
      <c r="B9" s="1" t="s">
        <v>112</v>
      </c>
      <c r="C9" s="1" t="s">
        <v>103</v>
      </c>
      <c r="E9" s="14">
        <v>613.71</v>
      </c>
      <c r="F9" s="2">
        <v>2574</v>
      </c>
      <c r="G9" s="8">
        <f>E9*F9</f>
        <v>1579689.54</v>
      </c>
      <c r="H9" s="2">
        <v>83897</v>
      </c>
      <c r="I9" s="2">
        <v>35873</v>
      </c>
      <c r="J9" s="2">
        <f>H9-I9</f>
        <v>48024</v>
      </c>
      <c r="K9" s="8">
        <f>G9+J9</f>
        <v>1627713.54</v>
      </c>
      <c r="L9" s="2">
        <v>217243</v>
      </c>
      <c r="M9" s="14">
        <f>L9/F9</f>
        <v>84.398989898989896</v>
      </c>
      <c r="O9" s="2">
        <v>200966</v>
      </c>
      <c r="P9" s="2">
        <v>101892</v>
      </c>
      <c r="Q9" s="2">
        <v>60458</v>
      </c>
      <c r="R9" s="1">
        <v>23.49</v>
      </c>
      <c r="T9" s="14">
        <f>K9/O9</f>
        <v>8.0994473692067324</v>
      </c>
      <c r="U9" s="14">
        <f>E9/M9</f>
        <v>7.2715325234875241</v>
      </c>
      <c r="V9" s="14">
        <f>E9/R9</f>
        <v>26.1264367816092</v>
      </c>
      <c r="W9" s="14">
        <f>K9/P9</f>
        <v>15.974890472264752</v>
      </c>
    </row>
    <row r="12" spans="2:23" x14ac:dyDescent="0.2">
      <c r="B12" s="1" t="s">
        <v>124</v>
      </c>
      <c r="T12" s="1" t="s">
        <v>118</v>
      </c>
      <c r="U12" s="1" t="s">
        <v>119</v>
      </c>
      <c r="V12" s="1" t="s">
        <v>108</v>
      </c>
      <c r="W12" s="1" t="s">
        <v>120</v>
      </c>
    </row>
    <row r="13" spans="2:23" x14ac:dyDescent="0.2">
      <c r="B13" s="59" t="s">
        <v>125</v>
      </c>
      <c r="C13" s="60"/>
      <c r="D13" s="60"/>
      <c r="E13" s="60"/>
      <c r="F13" s="60"/>
      <c r="G13" s="60"/>
      <c r="H13" s="60"/>
      <c r="I13" s="60"/>
      <c r="J13" s="60"/>
      <c r="K13" s="60"/>
      <c r="L13" s="60"/>
      <c r="M13" s="60"/>
      <c r="N13" s="60"/>
      <c r="O13" s="60"/>
      <c r="P13" s="60"/>
      <c r="Q13" s="60"/>
      <c r="R13" s="60"/>
      <c r="S13" s="60"/>
      <c r="T13" s="61">
        <f>MAX(T6:T9)</f>
        <v>9.7720601860187983</v>
      </c>
      <c r="U13" s="61">
        <f>MAX(U6:U9)</f>
        <v>42.315346411157726</v>
      </c>
      <c r="V13" s="61">
        <f t="shared" ref="V13:W13" si="0">MAX(V6:V9)</f>
        <v>31.620733249051835</v>
      </c>
      <c r="W13" s="61">
        <f t="shared" si="0"/>
        <v>24.740727817546194</v>
      </c>
    </row>
    <row r="14" spans="2:23" x14ac:dyDescent="0.2">
      <c r="B14" s="59" t="s">
        <v>126</v>
      </c>
      <c r="C14" s="60"/>
      <c r="D14" s="60"/>
      <c r="E14" s="60"/>
      <c r="F14" s="60"/>
      <c r="G14" s="60"/>
      <c r="H14" s="60"/>
      <c r="I14" s="60"/>
      <c r="J14" s="60"/>
      <c r="K14" s="60"/>
      <c r="L14" s="60"/>
      <c r="M14" s="60"/>
      <c r="N14" s="60"/>
      <c r="O14" s="60"/>
      <c r="P14" s="60"/>
      <c r="Q14" s="60"/>
      <c r="R14" s="60"/>
      <c r="S14" s="60"/>
      <c r="T14" s="61">
        <f>_xlfn.PERCENTILE.INC(T6:T9,0.75)</f>
        <v>9.360418406681049</v>
      </c>
      <c r="U14" s="61">
        <f>_xlfn.PERCENTILE.INC(U6:U9,0.75)</f>
        <v>17.237577045639178</v>
      </c>
      <c r="V14" s="61">
        <f t="shared" ref="V14:W14" si="1">_xlfn.PERCENTILE.INC(V6:V9,0.75)</f>
        <v>28.801209190266654</v>
      </c>
      <c r="W14" s="61">
        <f t="shared" si="1"/>
        <v>24.711668200478819</v>
      </c>
    </row>
    <row r="15" spans="2:23" x14ac:dyDescent="0.2">
      <c r="B15" s="62" t="s">
        <v>127</v>
      </c>
      <c r="C15" s="60"/>
      <c r="D15" s="60"/>
      <c r="E15" s="60"/>
      <c r="F15" s="60"/>
      <c r="G15" s="60"/>
      <c r="H15" s="60"/>
      <c r="I15" s="60"/>
      <c r="J15" s="60"/>
      <c r="K15" s="60"/>
      <c r="L15" s="60"/>
      <c r="M15" s="60"/>
      <c r="N15" s="60"/>
      <c r="O15" s="60"/>
      <c r="P15" s="60"/>
      <c r="Q15" s="60"/>
      <c r="R15" s="60"/>
      <c r="S15" s="60"/>
      <c r="T15" s="63">
        <f>AVERAGE(T6:T9)</f>
        <v>8.9412830380536512</v>
      </c>
      <c r="U15" s="63">
        <f t="shared" ref="U15:V15" si="2">AVERAGE(U6:U9)</f>
        <v>16.504111905582342</v>
      </c>
      <c r="V15" s="63">
        <f t="shared" si="2"/>
        <v>27.586468425724025</v>
      </c>
      <c r="W15" s="63">
        <f>AVERAGE(W6:W9)</f>
        <v>20.393273316062505</v>
      </c>
    </row>
    <row r="16" spans="2:23" x14ac:dyDescent="0.2">
      <c r="B16" s="57" t="s">
        <v>128</v>
      </c>
      <c r="C16" s="56"/>
      <c r="D16" s="56"/>
      <c r="E16" s="56"/>
      <c r="F16" s="56"/>
      <c r="G16" s="56"/>
      <c r="H16" s="56"/>
      <c r="I16" s="56"/>
      <c r="J16" s="56"/>
      <c r="K16" s="56"/>
      <c r="L16" s="56"/>
      <c r="M16" s="56"/>
      <c r="N16" s="56"/>
      <c r="O16" s="56"/>
      <c r="P16" s="56"/>
      <c r="Q16" s="56"/>
      <c r="R16" s="56"/>
      <c r="S16" s="56"/>
      <c r="T16" s="58">
        <f>MEDIAN(T6:T9)</f>
        <v>8.9468122984945353</v>
      </c>
      <c r="U16" s="58">
        <f t="shared" ref="U16:V16" si="3">MEDIAN(U6:U9)</f>
        <v>8.2147843438420551</v>
      </c>
      <c r="V16" s="58">
        <f t="shared" si="3"/>
        <v>26.993902309473732</v>
      </c>
      <c r="W16" s="58">
        <f>MEDIAN(W6:W9)</f>
        <v>20.428737487219536</v>
      </c>
    </row>
    <row r="17" spans="2:23" x14ac:dyDescent="0.2">
      <c r="B17" s="59" t="s">
        <v>129</v>
      </c>
      <c r="C17" s="60"/>
      <c r="D17" s="60"/>
      <c r="E17" s="60"/>
      <c r="F17" s="60"/>
      <c r="G17" s="60"/>
      <c r="H17" s="60"/>
      <c r="I17" s="60"/>
      <c r="J17" s="60"/>
      <c r="K17" s="60"/>
      <c r="L17" s="60"/>
      <c r="M17" s="60"/>
      <c r="N17" s="60"/>
      <c r="O17" s="60"/>
      <c r="P17" s="60"/>
      <c r="Q17" s="60"/>
      <c r="R17" s="60"/>
      <c r="S17" s="60"/>
      <c r="T17" s="61">
        <f>_xlfn.PERCENTILE.INC(T6:T9,0.25)</f>
        <v>8.5276769298671375</v>
      </c>
      <c r="U17" s="61">
        <f>_xlfn.PERCENTILE.INC(U6:U9,0.25)</f>
        <v>7.4813192037852163</v>
      </c>
      <c r="V17" s="61">
        <f t="shared" ref="V17:W17" si="4">_xlfn.PERCENTILE.INC(V6:V9,0.25)</f>
        <v>25.779161544931103</v>
      </c>
      <c r="W17" s="61">
        <f t="shared" si="4"/>
        <v>16.110342602803225</v>
      </c>
    </row>
    <row r="18" spans="2:23" x14ac:dyDescent="0.2">
      <c r="B18" s="59" t="s">
        <v>130</v>
      </c>
      <c r="C18" s="60"/>
      <c r="D18" s="60"/>
      <c r="E18" s="60"/>
      <c r="F18" s="60"/>
      <c r="G18" s="60"/>
      <c r="H18" s="60"/>
      <c r="I18" s="60"/>
      <c r="J18" s="60"/>
      <c r="K18" s="60"/>
      <c r="L18" s="60"/>
      <c r="M18" s="60"/>
      <c r="N18" s="60"/>
      <c r="O18" s="60"/>
      <c r="P18" s="60"/>
      <c r="Q18" s="60"/>
      <c r="R18" s="60"/>
      <c r="S18" s="60"/>
      <c r="T18" s="61">
        <f>MIN(T6:T9)</f>
        <v>8.0994473692067324</v>
      </c>
      <c r="U18" s="61">
        <f t="shared" ref="U18:W18" si="5">MIN(U6:U9)</f>
        <v>7.2715325234875241</v>
      </c>
      <c r="V18" s="61">
        <f t="shared" si="5"/>
        <v>24.737335834896811</v>
      </c>
      <c r="W18" s="61">
        <f t="shared" si="5"/>
        <v>15.974890472264752</v>
      </c>
    </row>
    <row r="21" spans="2:23" x14ac:dyDescent="0.2">
      <c r="B21" s="97" t="s">
        <v>131</v>
      </c>
      <c r="C21" s="97"/>
      <c r="D21" s="97"/>
      <c r="E21" s="97"/>
      <c r="F21" s="97"/>
      <c r="G21" s="97"/>
      <c r="H21" s="97"/>
      <c r="I21" s="97"/>
      <c r="J21" s="97"/>
      <c r="L21" s="116" t="s">
        <v>186</v>
      </c>
      <c r="M21" s="116"/>
      <c r="N21" s="116"/>
      <c r="O21" s="116"/>
      <c r="P21" s="116"/>
      <c r="Q21" s="116"/>
      <c r="R21" s="116"/>
      <c r="S21" s="116"/>
      <c r="T21" s="116"/>
      <c r="U21" s="116"/>
      <c r="V21" s="116"/>
      <c r="W21" s="116"/>
    </row>
    <row r="22" spans="2:23" ht="16" customHeight="1" x14ac:dyDescent="0.2">
      <c r="B22" s="1" t="s">
        <v>134</v>
      </c>
      <c r="C22" s="1" t="s">
        <v>133</v>
      </c>
      <c r="D22" s="1" t="s">
        <v>70</v>
      </c>
      <c r="E22" s="1" t="s">
        <v>135</v>
      </c>
      <c r="F22" s="1" t="s">
        <v>11</v>
      </c>
      <c r="G22" s="1" t="s">
        <v>136</v>
      </c>
      <c r="H22" s="1" t="s">
        <v>10</v>
      </c>
      <c r="I22" s="1" t="s">
        <v>97</v>
      </c>
      <c r="J22" s="1" t="s">
        <v>152</v>
      </c>
      <c r="L22" s="101" t="s">
        <v>187</v>
      </c>
      <c r="M22" s="101"/>
      <c r="N22" s="101"/>
      <c r="O22" s="101"/>
      <c r="P22" s="101"/>
      <c r="Q22" s="101"/>
      <c r="R22" s="101"/>
      <c r="S22" s="101"/>
      <c r="T22" s="101"/>
      <c r="U22" s="101"/>
      <c r="V22" s="101"/>
      <c r="W22" s="101"/>
    </row>
    <row r="23" spans="2:23" x14ac:dyDescent="0.2">
      <c r="B23" s="59" t="s">
        <v>118</v>
      </c>
      <c r="C23" s="64">
        <f>O6*T16</f>
        <v>3897383.5330332941</v>
      </c>
      <c r="D23" s="67">
        <f>J6</f>
        <v>45192</v>
      </c>
      <c r="E23" s="64">
        <f>C23-D23</f>
        <v>3852191.5330332941</v>
      </c>
      <c r="F23" s="59">
        <f>F6</f>
        <v>14920</v>
      </c>
      <c r="G23" s="61">
        <f>E23/F23</f>
        <v>258.1897810344031</v>
      </c>
      <c r="H23" s="61">
        <f>E6</f>
        <v>250.12</v>
      </c>
      <c r="I23" s="65" t="s">
        <v>137</v>
      </c>
      <c r="J23" s="65" t="s">
        <v>139</v>
      </c>
      <c r="L23" s="101"/>
      <c r="M23" s="101"/>
      <c r="N23" s="101"/>
      <c r="O23" s="101"/>
      <c r="P23" s="101"/>
      <c r="Q23" s="101"/>
      <c r="R23" s="101"/>
      <c r="S23" s="101"/>
      <c r="T23" s="101"/>
      <c r="U23" s="101"/>
      <c r="V23" s="101"/>
      <c r="W23" s="101"/>
    </row>
    <row r="24" spans="2:23" x14ac:dyDescent="0.2">
      <c r="B24" s="59" t="s">
        <v>120</v>
      </c>
      <c r="C24" s="64">
        <f>P6*W16</f>
        <v>3123594.8192708413</v>
      </c>
      <c r="D24" s="67">
        <f>J6</f>
        <v>45192</v>
      </c>
      <c r="E24" s="64">
        <f>C24-D24</f>
        <v>3078402.8192708413</v>
      </c>
      <c r="F24" s="59">
        <f>F6</f>
        <v>14920</v>
      </c>
      <c r="G24" s="61">
        <f>E24/F24</f>
        <v>206.32726670716096</v>
      </c>
      <c r="H24" s="61">
        <f>E6</f>
        <v>250.12</v>
      </c>
      <c r="I24" s="65" t="s">
        <v>138</v>
      </c>
      <c r="J24" s="65" t="s">
        <v>140</v>
      </c>
      <c r="L24" s="101"/>
      <c r="M24" s="101"/>
      <c r="N24" s="101"/>
      <c r="O24" s="101"/>
      <c r="P24" s="101"/>
      <c r="Q24" s="101"/>
      <c r="R24" s="101"/>
      <c r="S24" s="101"/>
      <c r="T24" s="101"/>
      <c r="U24" s="101"/>
      <c r="V24" s="101"/>
      <c r="W24" s="101"/>
    </row>
    <row r="25" spans="2:23" x14ac:dyDescent="0.2">
      <c r="B25" s="1" t="s">
        <v>119</v>
      </c>
      <c r="C25" s="1"/>
      <c r="D25" s="1"/>
      <c r="E25" s="8">
        <f>L6*U16</f>
        <v>724461.8312834308</v>
      </c>
      <c r="F25" s="1">
        <f>F24</f>
        <v>14920</v>
      </c>
      <c r="G25" s="14">
        <f>E25/F6</f>
        <v>48.556423008272844</v>
      </c>
      <c r="H25" s="14">
        <f>H24</f>
        <v>250.12</v>
      </c>
      <c r="I25" s="36" t="str">
        <f>I24</f>
        <v>Implied SP &lt; SP</v>
      </c>
      <c r="J25" s="36" t="s">
        <v>140</v>
      </c>
      <c r="L25" s="101"/>
      <c r="M25" s="101"/>
      <c r="N25" s="101"/>
      <c r="O25" s="101"/>
      <c r="P25" s="101"/>
      <c r="Q25" s="101"/>
      <c r="R25" s="101"/>
      <c r="S25" s="101"/>
      <c r="T25" s="101"/>
      <c r="U25" s="101"/>
      <c r="V25" s="101"/>
      <c r="W25" s="101"/>
    </row>
    <row r="26" spans="2:23" x14ac:dyDescent="0.2">
      <c r="B26" s="59" t="s">
        <v>108</v>
      </c>
      <c r="C26" s="59"/>
      <c r="D26" s="59"/>
      <c r="E26" s="64">
        <f>Q6*V16</f>
        <v>3179260.8323028879</v>
      </c>
      <c r="F26" s="59">
        <f>F25</f>
        <v>14920</v>
      </c>
      <c r="G26" s="61">
        <f>E26/F26</f>
        <v>213.0871871516681</v>
      </c>
      <c r="H26" s="68">
        <f>H25</f>
        <v>250.12</v>
      </c>
      <c r="I26" s="65" t="str">
        <f>I25</f>
        <v>Implied SP &lt; SP</v>
      </c>
      <c r="J26" s="65" t="str">
        <f>J25</f>
        <v>Overvalued</v>
      </c>
      <c r="L26" s="101"/>
      <c r="M26" s="101"/>
      <c r="N26" s="101"/>
      <c r="O26" s="101"/>
      <c r="P26" s="101"/>
      <c r="Q26" s="101"/>
      <c r="R26" s="101"/>
      <c r="S26" s="101"/>
      <c r="T26" s="101"/>
      <c r="U26" s="101"/>
      <c r="V26" s="101"/>
      <c r="W26" s="101"/>
    </row>
    <row r="27" spans="2:23" x14ac:dyDescent="0.2">
      <c r="L27" s="101"/>
      <c r="M27" s="101"/>
      <c r="N27" s="101"/>
      <c r="O27" s="101"/>
      <c r="P27" s="101"/>
      <c r="Q27" s="101"/>
      <c r="R27" s="101"/>
      <c r="S27" s="101"/>
      <c r="T27" s="101"/>
      <c r="U27" s="101"/>
      <c r="V27" s="101"/>
      <c r="W27" s="101"/>
    </row>
    <row r="28" spans="2:23" x14ac:dyDescent="0.2">
      <c r="B28" s="97" t="s">
        <v>145</v>
      </c>
      <c r="C28" s="97"/>
      <c r="E28" s="1" t="s">
        <v>146</v>
      </c>
      <c r="L28" s="101"/>
      <c r="M28" s="101"/>
      <c r="N28" s="101"/>
      <c r="O28" s="101"/>
      <c r="P28" s="101"/>
      <c r="Q28" s="101"/>
      <c r="R28" s="101"/>
      <c r="S28" s="101"/>
      <c r="T28" s="101"/>
      <c r="U28" s="101"/>
      <c r="V28" s="101"/>
      <c r="W28" s="101"/>
    </row>
    <row r="29" spans="2:23" x14ac:dyDescent="0.2">
      <c r="B29" s="1" t="s">
        <v>73</v>
      </c>
      <c r="C29" s="1" t="s">
        <v>74</v>
      </c>
      <c r="E29" s="98" t="s">
        <v>141</v>
      </c>
      <c r="F29" s="98"/>
      <c r="G29" s="98"/>
      <c r="H29" s="98"/>
      <c r="I29" s="98"/>
      <c r="L29" s="101"/>
      <c r="M29" s="101"/>
      <c r="N29" s="101"/>
      <c r="O29" s="101"/>
      <c r="P29" s="101"/>
      <c r="Q29" s="101"/>
      <c r="R29" s="101"/>
      <c r="S29" s="101"/>
      <c r="T29" s="101"/>
      <c r="U29" s="101"/>
      <c r="V29" s="101"/>
      <c r="W29" s="101"/>
    </row>
    <row r="30" spans="2:23" x14ac:dyDescent="0.2">
      <c r="B30" s="1" t="s">
        <v>142</v>
      </c>
      <c r="C30" s="14">
        <f>G24</f>
        <v>206.32726670716096</v>
      </c>
      <c r="E30" s="98"/>
      <c r="F30" s="98"/>
      <c r="G30" s="98"/>
      <c r="H30" s="98"/>
      <c r="I30" s="98"/>
      <c r="L30" s="101"/>
      <c r="M30" s="101"/>
      <c r="N30" s="101"/>
      <c r="O30" s="101"/>
      <c r="P30" s="101"/>
      <c r="Q30" s="101"/>
      <c r="R30" s="101"/>
      <c r="S30" s="101"/>
      <c r="T30" s="101"/>
      <c r="U30" s="101"/>
      <c r="V30" s="101"/>
      <c r="W30" s="101"/>
    </row>
    <row r="31" spans="2:23" x14ac:dyDescent="0.2">
      <c r="B31" s="1" t="s">
        <v>143</v>
      </c>
      <c r="C31" s="14">
        <f>G26</f>
        <v>213.0871871516681</v>
      </c>
      <c r="E31" s="98"/>
      <c r="F31" s="98"/>
      <c r="G31" s="98"/>
      <c r="H31" s="98"/>
      <c r="I31" s="98"/>
      <c r="L31" s="101"/>
      <c r="M31" s="101"/>
      <c r="N31" s="101"/>
      <c r="O31" s="101"/>
      <c r="P31" s="101"/>
      <c r="Q31" s="101"/>
      <c r="R31" s="101"/>
      <c r="S31" s="101"/>
      <c r="T31" s="101"/>
      <c r="U31" s="101"/>
      <c r="V31" s="101"/>
      <c r="W31" s="101"/>
    </row>
    <row r="32" spans="2:23" x14ac:dyDescent="0.2">
      <c r="B32" s="62" t="s">
        <v>144</v>
      </c>
      <c r="C32" s="63">
        <f>AVERAGE(C30:C31)</f>
        <v>209.70722692941453</v>
      </c>
      <c r="E32" s="98"/>
      <c r="F32" s="98"/>
      <c r="G32" s="98"/>
      <c r="H32" s="98"/>
      <c r="I32" s="98"/>
      <c r="L32" s="101"/>
      <c r="M32" s="101"/>
      <c r="N32" s="101"/>
      <c r="O32" s="101"/>
      <c r="P32" s="101"/>
      <c r="Q32" s="101"/>
      <c r="R32" s="101"/>
      <c r="S32" s="101"/>
      <c r="T32" s="101"/>
      <c r="U32" s="101"/>
      <c r="V32" s="101"/>
      <c r="W32" s="101"/>
    </row>
    <row r="33" spans="2:23" x14ac:dyDescent="0.2">
      <c r="E33" s="98"/>
      <c r="F33" s="98"/>
      <c r="G33" s="98"/>
      <c r="H33" s="98"/>
      <c r="I33" s="98"/>
      <c r="L33" s="101"/>
      <c r="M33" s="101"/>
      <c r="N33" s="101"/>
      <c r="O33" s="101"/>
      <c r="P33" s="101"/>
      <c r="Q33" s="101"/>
      <c r="R33" s="101"/>
      <c r="S33" s="101"/>
      <c r="T33" s="101"/>
      <c r="U33" s="101"/>
      <c r="V33" s="101"/>
      <c r="W33" s="101"/>
    </row>
    <row r="34" spans="2:23" x14ac:dyDescent="0.2">
      <c r="B34" s="97" t="s">
        <v>147</v>
      </c>
      <c r="C34" s="97"/>
      <c r="E34" s="98"/>
      <c r="F34" s="98"/>
      <c r="G34" s="98"/>
      <c r="H34" s="98"/>
      <c r="I34" s="98"/>
      <c r="L34" s="101"/>
      <c r="M34" s="101"/>
      <c r="N34" s="101"/>
      <c r="O34" s="101"/>
      <c r="P34" s="101"/>
      <c r="Q34" s="101"/>
      <c r="R34" s="101"/>
      <c r="S34" s="101"/>
      <c r="T34" s="101"/>
      <c r="U34" s="101"/>
      <c r="V34" s="101"/>
      <c r="W34" s="101"/>
    </row>
    <row r="35" spans="2:23" x14ac:dyDescent="0.2">
      <c r="B35" s="1" t="s">
        <v>148</v>
      </c>
      <c r="C35" s="14">
        <f>H23</f>
        <v>250.12</v>
      </c>
      <c r="L35" s="101"/>
      <c r="M35" s="101"/>
      <c r="N35" s="101"/>
      <c r="O35" s="101"/>
      <c r="P35" s="101"/>
      <c r="Q35" s="101"/>
      <c r="R35" s="101"/>
      <c r="S35" s="101"/>
      <c r="T35" s="101"/>
      <c r="U35" s="101"/>
      <c r="V35" s="101"/>
      <c r="W35" s="101"/>
    </row>
    <row r="36" spans="2:23" x14ac:dyDescent="0.2">
      <c r="B36" s="1" t="s">
        <v>149</v>
      </c>
      <c r="C36" s="14">
        <f>C32</f>
        <v>209.70722692941453</v>
      </c>
      <c r="L36" s="101"/>
      <c r="M36" s="101"/>
      <c r="N36" s="101"/>
      <c r="O36" s="101"/>
      <c r="P36" s="101"/>
      <c r="Q36" s="101"/>
      <c r="R36" s="101"/>
      <c r="S36" s="101"/>
      <c r="T36" s="101"/>
      <c r="U36" s="101"/>
      <c r="V36" s="101"/>
      <c r="W36" s="101"/>
    </row>
    <row r="37" spans="2:23" x14ac:dyDescent="0.2">
      <c r="B37" s="1" t="s">
        <v>150</v>
      </c>
      <c r="C37" s="50">
        <f>(C36-C35)/C35</f>
        <v>-0.16157353698458929</v>
      </c>
      <c r="L37" s="101"/>
      <c r="M37" s="101"/>
      <c r="N37" s="101"/>
      <c r="O37" s="101"/>
      <c r="P37" s="101"/>
      <c r="Q37" s="101"/>
      <c r="R37" s="101"/>
      <c r="S37" s="101"/>
      <c r="T37" s="101"/>
      <c r="U37" s="101"/>
      <c r="V37" s="101"/>
      <c r="W37" s="101"/>
    </row>
    <row r="38" spans="2:23" x14ac:dyDescent="0.2">
      <c r="B38" s="4" t="s">
        <v>151</v>
      </c>
      <c r="C38" s="52" t="s">
        <v>140</v>
      </c>
      <c r="L38" s="101"/>
      <c r="M38" s="101"/>
      <c r="N38" s="101"/>
      <c r="O38" s="101"/>
      <c r="P38" s="101"/>
      <c r="Q38" s="101"/>
      <c r="R38" s="101"/>
      <c r="S38" s="101"/>
      <c r="T38" s="101"/>
      <c r="U38" s="101"/>
      <c r="V38" s="101"/>
      <c r="W38" s="101"/>
    </row>
    <row r="39" spans="2:23" x14ac:dyDescent="0.2">
      <c r="L39" s="101"/>
      <c r="M39" s="101"/>
      <c r="N39" s="101"/>
      <c r="O39" s="101"/>
      <c r="P39" s="101"/>
      <c r="Q39" s="101"/>
      <c r="R39" s="101"/>
      <c r="S39" s="101"/>
      <c r="T39" s="101"/>
      <c r="U39" s="101"/>
      <c r="V39" s="101"/>
      <c r="W39" s="101"/>
    </row>
    <row r="40" spans="2:23" x14ac:dyDescent="0.2">
      <c r="L40" s="101"/>
      <c r="M40" s="101"/>
      <c r="N40" s="101"/>
      <c r="O40" s="101"/>
      <c r="P40" s="101"/>
      <c r="Q40" s="101"/>
      <c r="R40" s="101"/>
      <c r="S40" s="101"/>
      <c r="T40" s="101"/>
      <c r="U40" s="101"/>
      <c r="V40" s="101"/>
      <c r="W40" s="101"/>
    </row>
    <row r="41" spans="2:23" x14ac:dyDescent="0.2">
      <c r="B41" s="97" t="s">
        <v>198</v>
      </c>
      <c r="C41" s="97"/>
      <c r="D41" s="97"/>
      <c r="E41" s="97"/>
      <c r="F41" s="97"/>
      <c r="L41" s="101"/>
      <c r="M41" s="101"/>
      <c r="N41" s="101"/>
      <c r="O41" s="101"/>
      <c r="P41" s="101"/>
      <c r="Q41" s="101"/>
      <c r="R41" s="101"/>
      <c r="S41" s="101"/>
      <c r="T41" s="101"/>
      <c r="U41" s="101"/>
      <c r="V41" s="101"/>
      <c r="W41" s="101"/>
    </row>
    <row r="42" spans="2:23" x14ac:dyDescent="0.2">
      <c r="B42" s="1" t="s">
        <v>114</v>
      </c>
      <c r="C42" s="1" t="s">
        <v>118</v>
      </c>
      <c r="D42" s="1" t="s">
        <v>119</v>
      </c>
      <c r="E42" s="1" t="s">
        <v>108</v>
      </c>
      <c r="F42" s="1" t="s">
        <v>120</v>
      </c>
      <c r="L42" s="101"/>
      <c r="M42" s="101"/>
      <c r="N42" s="101"/>
      <c r="O42" s="101"/>
      <c r="P42" s="101"/>
      <c r="Q42" s="101"/>
      <c r="R42" s="101"/>
      <c r="S42" s="101"/>
      <c r="T42" s="101"/>
      <c r="U42" s="101"/>
      <c r="V42" s="101"/>
      <c r="W42" s="101"/>
    </row>
    <row r="43" spans="2:23" x14ac:dyDescent="0.2">
      <c r="B43" s="74" t="s">
        <v>101</v>
      </c>
      <c r="C43" s="14">
        <v>8.6704201167539381</v>
      </c>
      <c r="D43" s="14">
        <v>42.315346411157726</v>
      </c>
      <c r="E43" s="14">
        <v>31.620733249051835</v>
      </c>
      <c r="F43" s="14">
        <v>24.701981661456358</v>
      </c>
      <c r="L43" s="101"/>
      <c r="M43" s="101"/>
      <c r="N43" s="101"/>
      <c r="O43" s="101"/>
      <c r="P43" s="101"/>
      <c r="Q43" s="101"/>
      <c r="R43" s="101"/>
      <c r="S43" s="101"/>
      <c r="T43" s="101"/>
      <c r="U43" s="101"/>
      <c r="V43" s="101"/>
      <c r="W43" s="101"/>
    </row>
    <row r="44" spans="2:23" x14ac:dyDescent="0.2">
      <c r="B44" s="1" t="s">
        <v>105</v>
      </c>
      <c r="C44" s="14">
        <v>9.2232044802351325</v>
      </c>
      <c r="D44" s="14">
        <v>8.8783205904663287</v>
      </c>
      <c r="E44" s="14">
        <v>27.861367837338261</v>
      </c>
      <c r="F44" s="14">
        <v>24.740727817546194</v>
      </c>
      <c r="L44" s="101"/>
      <c r="M44" s="101"/>
      <c r="N44" s="101"/>
      <c r="O44" s="101"/>
      <c r="P44" s="101"/>
      <c r="Q44" s="101"/>
      <c r="R44" s="101"/>
      <c r="S44" s="101"/>
      <c r="T44" s="101"/>
      <c r="U44" s="101"/>
      <c r="V44" s="101"/>
      <c r="W44" s="101"/>
    </row>
    <row r="45" spans="2:23" x14ac:dyDescent="0.2">
      <c r="B45" s="1" t="s">
        <v>106</v>
      </c>
      <c r="C45" s="14">
        <v>9.7720601860187983</v>
      </c>
      <c r="D45" s="14">
        <v>7.5512480972177807</v>
      </c>
      <c r="E45" s="14">
        <v>24.737335834896811</v>
      </c>
      <c r="F45" s="14">
        <v>16.155493312982717</v>
      </c>
      <c r="L45" s="101"/>
      <c r="M45" s="101"/>
      <c r="N45" s="101"/>
      <c r="O45" s="101"/>
      <c r="P45" s="101"/>
      <c r="Q45" s="101"/>
      <c r="R45" s="101"/>
      <c r="S45" s="101"/>
      <c r="T45" s="101"/>
      <c r="U45" s="101"/>
      <c r="V45" s="101"/>
      <c r="W45" s="101"/>
    </row>
    <row r="46" spans="2:23" x14ac:dyDescent="0.2">
      <c r="B46" s="1" t="s">
        <v>103</v>
      </c>
      <c r="C46" s="14">
        <v>8.0994473692067324</v>
      </c>
      <c r="D46" s="14">
        <v>7.2715325234875241</v>
      </c>
      <c r="E46" s="14">
        <v>26.1264367816092</v>
      </c>
      <c r="F46" s="14">
        <v>15.974890472264752</v>
      </c>
      <c r="L46" s="101"/>
      <c r="M46" s="101"/>
      <c r="N46" s="101"/>
      <c r="O46" s="101"/>
      <c r="P46" s="101"/>
      <c r="Q46" s="101"/>
      <c r="R46" s="101"/>
      <c r="S46" s="101"/>
      <c r="T46" s="101"/>
      <c r="U46" s="101"/>
      <c r="V46" s="101"/>
      <c r="W46" s="101"/>
    </row>
    <row r="47" spans="2:23" x14ac:dyDescent="0.2">
      <c r="L47" s="101"/>
      <c r="M47" s="101"/>
      <c r="N47" s="101"/>
      <c r="O47" s="101"/>
      <c r="P47" s="101"/>
      <c r="Q47" s="101"/>
      <c r="R47" s="101"/>
      <c r="S47" s="101"/>
      <c r="T47" s="101"/>
      <c r="U47" s="101"/>
      <c r="V47" s="101"/>
      <c r="W47" s="101"/>
    </row>
    <row r="48" spans="2:23" x14ac:dyDescent="0.2">
      <c r="L48" s="26"/>
      <c r="M48" s="26"/>
      <c r="N48" s="26"/>
      <c r="O48" s="26"/>
      <c r="P48" s="26"/>
      <c r="Q48" s="26"/>
      <c r="R48" s="26"/>
      <c r="S48" s="26"/>
      <c r="T48" s="26"/>
      <c r="U48" s="26"/>
      <c r="V48" s="26"/>
      <c r="W48" s="26"/>
    </row>
    <row r="49" spans="2:23" x14ac:dyDescent="0.2">
      <c r="L49" s="26"/>
      <c r="M49" s="26"/>
      <c r="N49" s="26"/>
      <c r="O49" s="26"/>
      <c r="P49" s="26"/>
      <c r="Q49" s="26"/>
      <c r="R49" s="26"/>
      <c r="S49" s="26"/>
      <c r="T49" s="26"/>
      <c r="U49" s="26"/>
      <c r="V49" s="26"/>
      <c r="W49" s="26"/>
    </row>
    <row r="50" spans="2:23" x14ac:dyDescent="0.2">
      <c r="L50" s="26"/>
      <c r="M50" s="26"/>
      <c r="N50" s="26"/>
      <c r="O50" s="26"/>
      <c r="P50" s="26"/>
      <c r="Q50" s="26"/>
      <c r="R50" s="26"/>
      <c r="S50" s="26"/>
      <c r="T50" s="26"/>
      <c r="U50" s="26"/>
      <c r="V50" s="26"/>
      <c r="W50" s="26"/>
    </row>
    <row r="51" spans="2:23" x14ac:dyDescent="0.2">
      <c r="L51" s="26"/>
      <c r="M51" s="26"/>
      <c r="N51" s="26"/>
      <c r="O51" s="26"/>
      <c r="P51" s="26"/>
      <c r="Q51" s="26"/>
      <c r="R51" s="26"/>
      <c r="S51" s="26"/>
      <c r="T51" s="26"/>
      <c r="U51" s="26"/>
      <c r="V51" s="26"/>
      <c r="W51" s="26"/>
    </row>
    <row r="52" spans="2:23" x14ac:dyDescent="0.2">
      <c r="L52" s="26"/>
      <c r="M52" s="26"/>
      <c r="N52" s="26"/>
      <c r="O52" s="26"/>
      <c r="P52" s="26"/>
      <c r="Q52" s="26"/>
      <c r="R52" s="26"/>
      <c r="S52" s="26"/>
      <c r="T52" s="26"/>
      <c r="U52" s="26"/>
      <c r="V52" s="26"/>
      <c r="W52" s="26"/>
    </row>
    <row r="62" spans="2:23" ht="16" customHeight="1" x14ac:dyDescent="0.2">
      <c r="B62" s="101" t="s">
        <v>199</v>
      </c>
      <c r="C62" s="101"/>
      <c r="D62" s="101"/>
      <c r="E62" s="101"/>
      <c r="F62" s="101"/>
    </row>
    <row r="63" spans="2:23" x14ac:dyDescent="0.2">
      <c r="B63" s="101"/>
      <c r="C63" s="101"/>
      <c r="D63" s="101"/>
      <c r="E63" s="101"/>
      <c r="F63" s="101"/>
    </row>
    <row r="64" spans="2:23" x14ac:dyDescent="0.2">
      <c r="B64" s="101"/>
      <c r="C64" s="101"/>
      <c r="D64" s="101"/>
      <c r="E64" s="101"/>
      <c r="F64" s="101"/>
    </row>
    <row r="65" spans="2:6" x14ac:dyDescent="0.2">
      <c r="B65" s="101"/>
      <c r="C65" s="101"/>
      <c r="D65" s="101"/>
      <c r="E65" s="101"/>
      <c r="F65" s="101"/>
    </row>
    <row r="66" spans="2:6" x14ac:dyDescent="0.2">
      <c r="B66" s="101"/>
      <c r="C66" s="101"/>
      <c r="D66" s="101"/>
      <c r="E66" s="101"/>
      <c r="F66" s="101"/>
    </row>
    <row r="67" spans="2:6" x14ac:dyDescent="0.2">
      <c r="B67" s="26"/>
      <c r="C67" s="26"/>
      <c r="D67" s="26"/>
      <c r="E67" s="26"/>
      <c r="F67" s="26"/>
    </row>
  </sheetData>
  <mergeCells count="13">
    <mergeCell ref="B62:F66"/>
    <mergeCell ref="B28:C28"/>
    <mergeCell ref="B34:C34"/>
    <mergeCell ref="B2:W2"/>
    <mergeCell ref="L21:W21"/>
    <mergeCell ref="L22:W47"/>
    <mergeCell ref="B41:F41"/>
    <mergeCell ref="B21:J21"/>
    <mergeCell ref="E29:I34"/>
    <mergeCell ref="T4:W4"/>
    <mergeCell ref="O4:R4"/>
    <mergeCell ref="E4:M4"/>
    <mergeCell ref="B4:C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72A29-36E7-8A45-86AD-898708882DC0}">
  <dimension ref="K3:AB26"/>
  <sheetViews>
    <sheetView showGridLines="0" topLeftCell="H1" zoomScale="89" zoomScaleNormal="200" workbookViewId="0">
      <selection activeCell="V33" sqref="V33"/>
    </sheetView>
  </sheetViews>
  <sheetFormatPr baseColWidth="10" defaultRowHeight="16" x14ac:dyDescent="0.2"/>
  <cols>
    <col min="17" max="17" width="34.83203125" bestFit="1" customWidth="1"/>
  </cols>
  <sheetData>
    <row r="3" spans="11:28" x14ac:dyDescent="0.2">
      <c r="K3" s="99" t="s">
        <v>172</v>
      </c>
      <c r="L3" s="99"/>
      <c r="M3" s="99"/>
      <c r="N3" s="99"/>
      <c r="O3" s="99"/>
      <c r="P3" s="99"/>
      <c r="Q3" s="99"/>
    </row>
    <row r="5" spans="11:28" x14ac:dyDescent="0.2">
      <c r="K5" s="117" t="s">
        <v>153</v>
      </c>
      <c r="L5" s="100"/>
      <c r="M5" s="100"/>
      <c r="N5" s="100"/>
      <c r="O5" s="100"/>
      <c r="P5" s="100"/>
      <c r="Q5" s="100"/>
    </row>
    <row r="6" spans="11:28" x14ac:dyDescent="0.2">
      <c r="K6" s="1" t="s">
        <v>134</v>
      </c>
      <c r="L6" s="1" t="s">
        <v>165</v>
      </c>
      <c r="M6" s="1" t="s">
        <v>159</v>
      </c>
      <c r="N6" s="1" t="s">
        <v>125</v>
      </c>
      <c r="O6" s="1" t="s">
        <v>164</v>
      </c>
      <c r="P6" s="1" t="s">
        <v>148</v>
      </c>
      <c r="Q6" s="1" t="s">
        <v>160</v>
      </c>
    </row>
    <row r="7" spans="11:28" x14ac:dyDescent="0.2">
      <c r="K7" s="1" t="s">
        <v>154</v>
      </c>
      <c r="L7" s="14">
        <f>M7</f>
        <v>206.32726670716096</v>
      </c>
      <c r="M7" s="14">
        <f>'Relative Valuation'!C30</f>
        <v>206.32726670716096</v>
      </c>
      <c r="N7" s="14">
        <f>'Relative Valuation'!C31</f>
        <v>213.0871871516681</v>
      </c>
      <c r="O7" s="14">
        <f>N7-M7</f>
        <v>6.759920444507145</v>
      </c>
      <c r="P7" s="14">
        <v>250.12</v>
      </c>
      <c r="Q7" s="36" t="s">
        <v>161</v>
      </c>
    </row>
    <row r="8" spans="11:28" x14ac:dyDescent="0.2">
      <c r="K8" s="1" t="s">
        <v>155</v>
      </c>
      <c r="L8" s="14">
        <f t="shared" ref="L8:L11" si="0">M8</f>
        <v>87.865241844594578</v>
      </c>
      <c r="M8" s="14">
        <f>'Sensitivity Analysis'!C38</f>
        <v>87.865241844594578</v>
      </c>
      <c r="N8" s="14">
        <f>'Sensitivity Analysis'!E37</f>
        <v>109.80297977465348</v>
      </c>
      <c r="O8" s="14">
        <f>N8-M8</f>
        <v>21.937737930058901</v>
      </c>
      <c r="P8" s="14">
        <v>250.12</v>
      </c>
      <c r="Q8" s="36" t="s">
        <v>162</v>
      </c>
    </row>
    <row r="9" spans="11:28" x14ac:dyDescent="0.2">
      <c r="K9" s="1" t="s">
        <v>156</v>
      </c>
      <c r="L9" s="14">
        <f t="shared" si="0"/>
        <v>98.703512049636416</v>
      </c>
      <c r="M9" s="14">
        <f>'Sensitivity Analysis'!C37</f>
        <v>98.703512049636416</v>
      </c>
      <c r="N9" s="1">
        <v>120</v>
      </c>
      <c r="O9" s="14">
        <f t="shared" ref="O9:O11" si="1">N9-M9</f>
        <v>21.296487950363584</v>
      </c>
      <c r="P9" s="14">
        <v>250.12</v>
      </c>
      <c r="Q9" s="36" t="s">
        <v>162</v>
      </c>
    </row>
    <row r="10" spans="11:28" x14ac:dyDescent="0.2">
      <c r="K10" s="1" t="s">
        <v>157</v>
      </c>
      <c r="L10" s="14">
        <f t="shared" si="0"/>
        <v>112.84265311575533</v>
      </c>
      <c r="M10" s="14">
        <f>'Sensitivity Analysis'!C36</f>
        <v>112.84265311575533</v>
      </c>
      <c r="N10" s="14">
        <f>'Sensitivity Analysis'!E36</f>
        <v>128.19255621364516</v>
      </c>
      <c r="O10" s="14">
        <f t="shared" si="1"/>
        <v>15.349903097889836</v>
      </c>
      <c r="P10" s="14">
        <v>250.12</v>
      </c>
      <c r="Q10" s="36" t="s">
        <v>162</v>
      </c>
    </row>
    <row r="11" spans="11:28" x14ac:dyDescent="0.2">
      <c r="K11" s="1" t="s">
        <v>158</v>
      </c>
      <c r="L11" s="14">
        <f t="shared" si="0"/>
        <v>169.21</v>
      </c>
      <c r="M11" s="1">
        <v>169.21</v>
      </c>
      <c r="N11" s="1">
        <v>288.62</v>
      </c>
      <c r="O11" s="14">
        <f t="shared" si="1"/>
        <v>119.41</v>
      </c>
      <c r="P11" s="14">
        <v>250.12</v>
      </c>
      <c r="Q11" s="36" t="s">
        <v>163</v>
      </c>
    </row>
    <row r="13" spans="11:28" ht="16" customHeight="1" x14ac:dyDescent="0.2">
      <c r="S13" s="98" t="s">
        <v>173</v>
      </c>
      <c r="T13" s="98"/>
      <c r="U13" s="98"/>
      <c r="V13" s="98"/>
      <c r="W13" s="98"/>
      <c r="X13" s="98"/>
      <c r="Y13" s="98"/>
      <c r="Z13" s="98"/>
      <c r="AA13" s="98"/>
      <c r="AB13" s="98"/>
    </row>
    <row r="14" spans="11:28" x14ac:dyDescent="0.2">
      <c r="S14" s="98"/>
      <c r="T14" s="98"/>
      <c r="U14" s="98"/>
      <c r="V14" s="98"/>
      <c r="W14" s="98"/>
      <c r="X14" s="98"/>
      <c r="Y14" s="98"/>
      <c r="Z14" s="98"/>
      <c r="AA14" s="98"/>
      <c r="AB14" s="98"/>
    </row>
    <row r="15" spans="11:28" x14ac:dyDescent="0.2">
      <c r="S15" s="98"/>
      <c r="T15" s="98"/>
      <c r="U15" s="98"/>
      <c r="V15" s="98"/>
      <c r="W15" s="98"/>
      <c r="X15" s="98"/>
      <c r="Y15" s="98"/>
      <c r="Z15" s="98"/>
      <c r="AA15" s="98"/>
      <c r="AB15" s="98"/>
    </row>
    <row r="16" spans="11:28" x14ac:dyDescent="0.2">
      <c r="S16" s="98"/>
      <c r="T16" s="98"/>
      <c r="U16" s="98"/>
      <c r="V16" s="98"/>
      <c r="W16" s="98"/>
      <c r="X16" s="98"/>
      <c r="Y16" s="98"/>
      <c r="Z16" s="98"/>
      <c r="AA16" s="98"/>
      <c r="AB16" s="98"/>
    </row>
    <row r="17" spans="19:28" x14ac:dyDescent="0.2">
      <c r="S17" s="98"/>
      <c r="T17" s="98"/>
      <c r="U17" s="98"/>
      <c r="V17" s="98"/>
      <c r="W17" s="98"/>
      <c r="X17" s="98"/>
      <c r="Y17" s="98"/>
      <c r="Z17" s="98"/>
      <c r="AA17" s="98"/>
      <c r="AB17" s="98"/>
    </row>
    <row r="18" spans="19:28" x14ac:dyDescent="0.2">
      <c r="S18" s="98"/>
      <c r="T18" s="98"/>
      <c r="U18" s="98"/>
      <c r="V18" s="98"/>
      <c r="W18" s="98"/>
      <c r="X18" s="98"/>
      <c r="Y18" s="98"/>
      <c r="Z18" s="98"/>
      <c r="AA18" s="98"/>
      <c r="AB18" s="98"/>
    </row>
    <row r="19" spans="19:28" x14ac:dyDescent="0.2">
      <c r="S19" s="98"/>
      <c r="T19" s="98"/>
      <c r="U19" s="98"/>
      <c r="V19" s="98"/>
      <c r="W19" s="98"/>
      <c r="X19" s="98"/>
      <c r="Y19" s="98"/>
      <c r="Z19" s="98"/>
      <c r="AA19" s="98"/>
      <c r="AB19" s="98"/>
    </row>
    <row r="20" spans="19:28" x14ac:dyDescent="0.2">
      <c r="S20" s="26"/>
      <c r="T20" s="26"/>
      <c r="U20" s="26"/>
      <c r="V20" s="26"/>
      <c r="W20" s="26"/>
      <c r="X20" s="26"/>
      <c r="Y20" s="26"/>
      <c r="Z20" s="26"/>
      <c r="AA20" s="26"/>
      <c r="AB20" s="26"/>
    </row>
    <row r="21" spans="19:28" x14ac:dyDescent="0.2">
      <c r="S21" s="26"/>
      <c r="T21" s="26"/>
      <c r="U21" s="26"/>
      <c r="V21" s="26"/>
      <c r="W21" s="26"/>
      <c r="X21" s="26"/>
      <c r="Y21" s="26"/>
      <c r="Z21" s="26"/>
      <c r="AA21" s="26"/>
      <c r="AB21" s="26"/>
    </row>
    <row r="22" spans="19:28" x14ac:dyDescent="0.2">
      <c r="S22" s="26"/>
      <c r="T22" s="26"/>
      <c r="U22" s="26"/>
      <c r="V22" s="26"/>
      <c r="W22" s="26"/>
      <c r="X22" s="26"/>
      <c r="Y22" s="26"/>
      <c r="Z22" s="26"/>
      <c r="AA22" s="26"/>
      <c r="AB22" s="26"/>
    </row>
    <row r="23" spans="19:28" x14ac:dyDescent="0.2">
      <c r="S23" s="26"/>
      <c r="T23" s="26"/>
      <c r="U23" s="26"/>
      <c r="V23" s="26"/>
      <c r="W23" s="26"/>
      <c r="X23" s="26"/>
      <c r="Y23" s="26"/>
      <c r="Z23" s="26"/>
      <c r="AA23" s="26"/>
      <c r="AB23" s="26"/>
    </row>
    <row r="24" spans="19:28" x14ac:dyDescent="0.2">
      <c r="S24" s="26"/>
      <c r="T24" s="26"/>
      <c r="U24" s="26"/>
      <c r="V24" s="26"/>
      <c r="W24" s="26"/>
      <c r="X24" s="26"/>
      <c r="Y24" s="26"/>
      <c r="Z24" s="26"/>
      <c r="AA24" s="26"/>
      <c r="AB24" s="26"/>
    </row>
    <row r="25" spans="19:28" x14ac:dyDescent="0.2">
      <c r="S25" s="26"/>
      <c r="T25" s="26"/>
      <c r="U25" s="26"/>
      <c r="V25" s="26"/>
      <c r="W25" s="26"/>
      <c r="X25" s="26"/>
      <c r="Y25" s="26"/>
      <c r="Z25" s="26"/>
      <c r="AA25" s="26"/>
      <c r="AB25" s="26"/>
    </row>
    <row r="26" spans="19:28" x14ac:dyDescent="0.2">
      <c r="S26" s="26"/>
      <c r="T26" s="26"/>
      <c r="U26" s="26"/>
      <c r="V26" s="26"/>
      <c r="W26" s="26"/>
      <c r="X26" s="26"/>
      <c r="Y26" s="26"/>
      <c r="Z26" s="26"/>
      <c r="AA26" s="26"/>
      <c r="AB26" s="26"/>
    </row>
  </sheetData>
  <mergeCells count="3">
    <mergeCell ref="K5:Q5"/>
    <mergeCell ref="K3:Q3"/>
    <mergeCell ref="S13:AB1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7B964-CD62-9445-B711-EA5F682D78E5}">
  <dimension ref="B3:J43"/>
  <sheetViews>
    <sheetView showGridLines="0" zoomScale="75" workbookViewId="0">
      <selection activeCell="N13" sqref="N13"/>
    </sheetView>
  </sheetViews>
  <sheetFormatPr baseColWidth="10" defaultRowHeight="16" x14ac:dyDescent="0.2"/>
  <sheetData>
    <row r="3" spans="2:10" ht="16" customHeight="1" x14ac:dyDescent="0.2">
      <c r="B3" s="101" t="s">
        <v>200</v>
      </c>
      <c r="C3" s="101"/>
      <c r="D3" s="101"/>
      <c r="E3" s="101"/>
      <c r="F3" s="101"/>
      <c r="G3" s="101"/>
      <c r="H3" s="101"/>
      <c r="I3" s="101"/>
      <c r="J3" s="101"/>
    </row>
    <row r="4" spans="2:10" x14ac:dyDescent="0.2">
      <c r="B4" s="101"/>
      <c r="C4" s="101"/>
      <c r="D4" s="101"/>
      <c r="E4" s="101"/>
      <c r="F4" s="101"/>
      <c r="G4" s="101"/>
      <c r="H4" s="101"/>
      <c r="I4" s="101"/>
      <c r="J4" s="101"/>
    </row>
    <row r="5" spans="2:10" x14ac:dyDescent="0.2">
      <c r="B5" s="101"/>
      <c r="C5" s="101"/>
      <c r="D5" s="101"/>
      <c r="E5" s="101"/>
      <c r="F5" s="101"/>
      <c r="G5" s="101"/>
      <c r="H5" s="101"/>
      <c r="I5" s="101"/>
      <c r="J5" s="101"/>
    </row>
    <row r="6" spans="2:10" x14ac:dyDescent="0.2">
      <c r="B6" s="101"/>
      <c r="C6" s="101"/>
      <c r="D6" s="101"/>
      <c r="E6" s="101"/>
      <c r="F6" s="101"/>
      <c r="G6" s="101"/>
      <c r="H6" s="101"/>
      <c r="I6" s="101"/>
      <c r="J6" s="101"/>
    </row>
    <row r="7" spans="2:10" x14ac:dyDescent="0.2">
      <c r="B7" s="101"/>
      <c r="C7" s="101"/>
      <c r="D7" s="101"/>
      <c r="E7" s="101"/>
      <c r="F7" s="101"/>
      <c r="G7" s="101"/>
      <c r="H7" s="101"/>
      <c r="I7" s="101"/>
      <c r="J7" s="101"/>
    </row>
    <row r="8" spans="2:10" x14ac:dyDescent="0.2">
      <c r="B8" s="101"/>
      <c r="C8" s="101"/>
      <c r="D8" s="101"/>
      <c r="E8" s="101"/>
      <c r="F8" s="101"/>
      <c r="G8" s="101"/>
      <c r="H8" s="101"/>
      <c r="I8" s="101"/>
      <c r="J8" s="101"/>
    </row>
    <row r="9" spans="2:10" x14ac:dyDescent="0.2">
      <c r="B9" s="101"/>
      <c r="C9" s="101"/>
      <c r="D9" s="101"/>
      <c r="E9" s="101"/>
      <c r="F9" s="101"/>
      <c r="G9" s="101"/>
      <c r="H9" s="101"/>
      <c r="I9" s="101"/>
      <c r="J9" s="101"/>
    </row>
    <row r="10" spans="2:10" x14ac:dyDescent="0.2">
      <c r="B10" s="101"/>
      <c r="C10" s="101"/>
      <c r="D10" s="101"/>
      <c r="E10" s="101"/>
      <c r="F10" s="101"/>
      <c r="G10" s="101"/>
      <c r="H10" s="101"/>
      <c r="I10" s="101"/>
      <c r="J10" s="101"/>
    </row>
    <row r="11" spans="2:10" x14ac:dyDescent="0.2">
      <c r="B11" s="101"/>
      <c r="C11" s="101"/>
      <c r="D11" s="101"/>
      <c r="E11" s="101"/>
      <c r="F11" s="101"/>
      <c r="G11" s="101"/>
      <c r="H11" s="101"/>
      <c r="I11" s="101"/>
      <c r="J11" s="101"/>
    </row>
    <row r="12" spans="2:10" x14ac:dyDescent="0.2">
      <c r="B12" s="101"/>
      <c r="C12" s="101"/>
      <c r="D12" s="101"/>
      <c r="E12" s="101"/>
      <c r="F12" s="101"/>
      <c r="G12" s="101"/>
      <c r="H12" s="101"/>
      <c r="I12" s="101"/>
      <c r="J12" s="101"/>
    </row>
    <row r="13" spans="2:10" x14ac:dyDescent="0.2">
      <c r="B13" s="101"/>
      <c r="C13" s="101"/>
      <c r="D13" s="101"/>
      <c r="E13" s="101"/>
      <c r="F13" s="101"/>
      <c r="G13" s="101"/>
      <c r="H13" s="101"/>
      <c r="I13" s="101"/>
      <c r="J13" s="101"/>
    </row>
    <row r="14" spans="2:10" x14ac:dyDescent="0.2">
      <c r="B14" s="101"/>
      <c r="C14" s="101"/>
      <c r="D14" s="101"/>
      <c r="E14" s="101"/>
      <c r="F14" s="101"/>
      <c r="G14" s="101"/>
      <c r="H14" s="101"/>
      <c r="I14" s="101"/>
      <c r="J14" s="101"/>
    </row>
    <row r="15" spans="2:10" x14ac:dyDescent="0.2">
      <c r="B15" s="26"/>
      <c r="C15" s="26"/>
      <c r="D15" s="26"/>
      <c r="E15" s="26"/>
      <c r="F15" s="26"/>
      <c r="G15" s="26"/>
      <c r="H15" s="26"/>
      <c r="I15" s="26"/>
      <c r="J15" s="26"/>
    </row>
    <row r="16" spans="2:10" ht="16" customHeight="1" x14ac:dyDescent="0.2">
      <c r="B16" s="101" t="s">
        <v>201</v>
      </c>
      <c r="C16" s="101"/>
      <c r="D16" s="101"/>
      <c r="E16" s="101"/>
      <c r="F16" s="101"/>
      <c r="G16" s="101"/>
      <c r="H16" s="101"/>
      <c r="I16" s="101"/>
      <c r="J16" s="101"/>
    </row>
    <row r="17" spans="2:10" x14ac:dyDescent="0.2">
      <c r="B17" s="101"/>
      <c r="C17" s="101"/>
      <c r="D17" s="101"/>
      <c r="E17" s="101"/>
      <c r="F17" s="101"/>
      <c r="G17" s="101"/>
      <c r="H17" s="101"/>
      <c r="I17" s="101"/>
      <c r="J17" s="101"/>
    </row>
    <row r="18" spans="2:10" x14ac:dyDescent="0.2">
      <c r="B18" s="101"/>
      <c r="C18" s="101"/>
      <c r="D18" s="101"/>
      <c r="E18" s="101"/>
      <c r="F18" s="101"/>
      <c r="G18" s="101"/>
      <c r="H18" s="101"/>
      <c r="I18" s="101"/>
      <c r="J18" s="101"/>
    </row>
    <row r="19" spans="2:10" x14ac:dyDescent="0.2">
      <c r="B19" s="101"/>
      <c r="C19" s="101"/>
      <c r="D19" s="101"/>
      <c r="E19" s="101"/>
      <c r="F19" s="101"/>
      <c r="G19" s="101"/>
      <c r="H19" s="101"/>
      <c r="I19" s="101"/>
      <c r="J19" s="101"/>
    </row>
    <row r="20" spans="2:10" x14ac:dyDescent="0.2">
      <c r="B20" s="101"/>
      <c r="C20" s="101"/>
      <c r="D20" s="101"/>
      <c r="E20" s="101"/>
      <c r="F20" s="101"/>
      <c r="G20" s="101"/>
      <c r="H20" s="101"/>
      <c r="I20" s="101"/>
      <c r="J20" s="101"/>
    </row>
    <row r="21" spans="2:10" x14ac:dyDescent="0.2">
      <c r="B21" s="101"/>
      <c r="C21" s="101"/>
      <c r="D21" s="101"/>
      <c r="E21" s="101"/>
      <c r="F21" s="101"/>
      <c r="G21" s="101"/>
      <c r="H21" s="101"/>
      <c r="I21" s="101"/>
      <c r="J21" s="101"/>
    </row>
    <row r="22" spans="2:10" x14ac:dyDescent="0.2">
      <c r="B22" s="101"/>
      <c r="C22" s="101"/>
      <c r="D22" s="101"/>
      <c r="E22" s="101"/>
      <c r="F22" s="101"/>
      <c r="G22" s="101"/>
      <c r="H22" s="101"/>
      <c r="I22" s="101"/>
      <c r="J22" s="101"/>
    </row>
    <row r="23" spans="2:10" x14ac:dyDescent="0.2">
      <c r="B23" s="101"/>
      <c r="C23" s="101"/>
      <c r="D23" s="101"/>
      <c r="E23" s="101"/>
      <c r="F23" s="101"/>
      <c r="G23" s="101"/>
      <c r="H23" s="101"/>
      <c r="I23" s="101"/>
      <c r="J23" s="101"/>
    </row>
    <row r="24" spans="2:10" x14ac:dyDescent="0.2">
      <c r="B24" s="101"/>
      <c r="C24" s="101"/>
      <c r="D24" s="101"/>
      <c r="E24" s="101"/>
      <c r="F24" s="101"/>
      <c r="G24" s="101"/>
      <c r="H24" s="101"/>
      <c r="I24" s="101"/>
      <c r="J24" s="101"/>
    </row>
    <row r="25" spans="2:10" x14ac:dyDescent="0.2">
      <c r="B25" s="101"/>
      <c r="C25" s="101"/>
      <c r="D25" s="101"/>
      <c r="E25" s="101"/>
      <c r="F25" s="101"/>
      <c r="G25" s="101"/>
      <c r="H25" s="101"/>
      <c r="I25" s="101"/>
      <c r="J25" s="101"/>
    </row>
    <row r="26" spans="2:10" x14ac:dyDescent="0.2">
      <c r="B26" s="101"/>
      <c r="C26" s="101"/>
      <c r="D26" s="101"/>
      <c r="E26" s="101"/>
      <c r="F26" s="101"/>
      <c r="G26" s="101"/>
      <c r="H26" s="101"/>
      <c r="I26" s="101"/>
      <c r="J26" s="101"/>
    </row>
    <row r="27" spans="2:10" x14ac:dyDescent="0.2">
      <c r="B27" s="101"/>
      <c r="C27" s="101"/>
      <c r="D27" s="101"/>
      <c r="E27" s="101"/>
      <c r="F27" s="101"/>
      <c r="G27" s="101"/>
      <c r="H27" s="101"/>
      <c r="I27" s="101"/>
      <c r="J27" s="101"/>
    </row>
    <row r="28" spans="2:10" x14ac:dyDescent="0.2">
      <c r="B28" s="101"/>
      <c r="C28" s="101"/>
      <c r="D28" s="101"/>
      <c r="E28" s="101"/>
      <c r="F28" s="101"/>
      <c r="G28" s="101"/>
      <c r="H28" s="101"/>
      <c r="I28" s="101"/>
      <c r="J28" s="101"/>
    </row>
    <row r="29" spans="2:10" x14ac:dyDescent="0.2">
      <c r="B29" s="101"/>
      <c r="C29" s="101"/>
      <c r="D29" s="101"/>
      <c r="E29" s="101"/>
      <c r="F29" s="101"/>
      <c r="G29" s="101"/>
      <c r="H29" s="101"/>
      <c r="I29" s="101"/>
      <c r="J29" s="101"/>
    </row>
    <row r="30" spans="2:10" x14ac:dyDescent="0.2">
      <c r="B30" s="101"/>
      <c r="C30" s="101"/>
      <c r="D30" s="101"/>
      <c r="E30" s="101"/>
      <c r="F30" s="101"/>
      <c r="G30" s="101"/>
      <c r="H30" s="101"/>
      <c r="I30" s="101"/>
      <c r="J30" s="101"/>
    </row>
    <row r="31" spans="2:10" x14ac:dyDescent="0.2">
      <c r="B31" s="101"/>
      <c r="C31" s="101"/>
      <c r="D31" s="101"/>
      <c r="E31" s="101"/>
      <c r="F31" s="101"/>
      <c r="G31" s="101"/>
      <c r="H31" s="101"/>
      <c r="I31" s="101"/>
      <c r="J31" s="101"/>
    </row>
    <row r="32" spans="2:10" x14ac:dyDescent="0.2">
      <c r="B32" s="101"/>
      <c r="C32" s="101"/>
      <c r="D32" s="101"/>
      <c r="E32" s="101"/>
      <c r="F32" s="101"/>
      <c r="G32" s="101"/>
      <c r="H32" s="101"/>
      <c r="I32" s="101"/>
      <c r="J32" s="101"/>
    </row>
    <row r="33" spans="2:10" x14ac:dyDescent="0.2">
      <c r="B33" s="101"/>
      <c r="C33" s="101"/>
      <c r="D33" s="101"/>
      <c r="E33" s="101"/>
      <c r="F33" s="101"/>
      <c r="G33" s="101"/>
      <c r="H33" s="101"/>
      <c r="I33" s="101"/>
      <c r="J33" s="101"/>
    </row>
    <row r="34" spans="2:10" x14ac:dyDescent="0.2">
      <c r="B34" s="101"/>
      <c r="C34" s="101"/>
      <c r="D34" s="101"/>
      <c r="E34" s="101"/>
      <c r="F34" s="101"/>
      <c r="G34" s="101"/>
      <c r="H34" s="101"/>
      <c r="I34" s="101"/>
      <c r="J34" s="101"/>
    </row>
    <row r="35" spans="2:10" x14ac:dyDescent="0.2">
      <c r="B35" s="101"/>
      <c r="C35" s="101"/>
      <c r="D35" s="101"/>
      <c r="E35" s="101"/>
      <c r="F35" s="101"/>
      <c r="G35" s="101"/>
      <c r="H35" s="101"/>
      <c r="I35" s="101"/>
      <c r="J35" s="101"/>
    </row>
    <row r="36" spans="2:10" x14ac:dyDescent="0.2">
      <c r="B36" s="101"/>
      <c r="C36" s="101"/>
      <c r="D36" s="101"/>
      <c r="E36" s="101"/>
      <c r="F36" s="101"/>
      <c r="G36" s="101"/>
      <c r="H36" s="101"/>
      <c r="I36" s="101"/>
      <c r="J36" s="101"/>
    </row>
    <row r="37" spans="2:10" x14ac:dyDescent="0.2">
      <c r="B37" s="101"/>
      <c r="C37" s="101"/>
      <c r="D37" s="101"/>
      <c r="E37" s="101"/>
      <c r="F37" s="101"/>
      <c r="G37" s="101"/>
      <c r="H37" s="101"/>
      <c r="I37" s="101"/>
      <c r="J37" s="101"/>
    </row>
    <row r="38" spans="2:10" x14ac:dyDescent="0.2">
      <c r="B38" s="101"/>
      <c r="C38" s="101"/>
      <c r="D38" s="101"/>
      <c r="E38" s="101"/>
      <c r="F38" s="101"/>
      <c r="G38" s="101"/>
      <c r="H38" s="101"/>
      <c r="I38" s="101"/>
      <c r="J38" s="101"/>
    </row>
    <row r="39" spans="2:10" x14ac:dyDescent="0.2">
      <c r="B39" s="101"/>
      <c r="C39" s="101"/>
      <c r="D39" s="101"/>
      <c r="E39" s="101"/>
      <c r="F39" s="101"/>
      <c r="G39" s="101"/>
      <c r="H39" s="101"/>
      <c r="I39" s="101"/>
      <c r="J39" s="101"/>
    </row>
    <row r="40" spans="2:10" x14ac:dyDescent="0.2">
      <c r="B40" s="101"/>
      <c r="C40" s="101"/>
      <c r="D40" s="101"/>
      <c r="E40" s="101"/>
      <c r="F40" s="101"/>
      <c r="G40" s="101"/>
      <c r="H40" s="101"/>
      <c r="I40" s="101"/>
      <c r="J40" s="101"/>
    </row>
    <row r="41" spans="2:10" x14ac:dyDescent="0.2">
      <c r="B41" s="101"/>
      <c r="C41" s="101"/>
      <c r="D41" s="101"/>
      <c r="E41" s="101"/>
      <c r="F41" s="101"/>
      <c r="G41" s="101"/>
      <c r="H41" s="101"/>
      <c r="I41" s="101"/>
      <c r="J41" s="101"/>
    </row>
    <row r="42" spans="2:10" x14ac:dyDescent="0.2">
      <c r="B42" s="101"/>
      <c r="C42" s="101"/>
      <c r="D42" s="101"/>
      <c r="E42" s="101"/>
      <c r="F42" s="101"/>
      <c r="G42" s="101"/>
      <c r="H42" s="101"/>
      <c r="I42" s="101"/>
      <c r="J42" s="101"/>
    </row>
    <row r="43" spans="2:10" x14ac:dyDescent="0.2">
      <c r="B43" s="101"/>
      <c r="C43" s="101"/>
      <c r="D43" s="101"/>
      <c r="E43" s="101"/>
      <c r="F43" s="101"/>
      <c r="G43" s="101"/>
      <c r="H43" s="101"/>
      <c r="I43" s="101"/>
      <c r="J43" s="101"/>
    </row>
  </sheetData>
  <mergeCells count="2">
    <mergeCell ref="B3:J14"/>
    <mergeCell ref="B16:J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Executive Summary</vt:lpstr>
      <vt:lpstr>AAPL Financial Data</vt:lpstr>
      <vt:lpstr>AAPL FCFF Calculation</vt:lpstr>
      <vt:lpstr>AAPL WACC Calculation</vt:lpstr>
      <vt:lpstr>AAPL DCF Valuation</vt:lpstr>
      <vt:lpstr>Sensitivity Analysis</vt:lpstr>
      <vt:lpstr>Relative Valuation</vt:lpstr>
      <vt:lpstr>Football Field Analysis</vt:lpstr>
      <vt:lpstr>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 Kapadia</dc:creator>
  <cp:lastModifiedBy>Tej Kapadia</cp:lastModifiedBy>
  <dcterms:created xsi:type="dcterms:W3CDTF">2026-03-14T22:23:06Z</dcterms:created>
  <dcterms:modified xsi:type="dcterms:W3CDTF">2026-03-15T19:11:35Z</dcterms:modified>
</cp:coreProperties>
</file>